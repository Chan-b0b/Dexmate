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LG스마트체 Regular"/>
      <b val="1"/>
      <sz val="12"/>
    </font>
    <font>
      <name val="LG스마트체 Regular"/>
      <b val="1"/>
      <sz val="10"/>
    </font>
    <font>
      <name val="LG스마트체 Regular"/>
      <sz val="10"/>
    </font>
    <font>
      <name val="LG스마트체 Regular"/>
      <b val="1"/>
      <sz val="11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F0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26" customWidth="1" min="4" max="4"/>
    <col width="24" customWidth="1" min="5" max="5"/>
    <col width="52" customWidth="1" min="6" max="6"/>
    <col width="18" customWidth="1" min="7" max="7"/>
    <col width="11" customWidth="1" min="8" max="8"/>
    <col width="11" customWidth="1" min="9" max="9"/>
    <col width="62" customWidth="1" min="10" max="10"/>
  </cols>
  <sheetData>
    <row r="1">
      <c r="A1" s="1" t="inlineStr">
        <is>
          <t>휴머노이드 작업 플로우 소요시간 — chassis_sequence.py 실제 흐름 기준 (0초 행 없음: 병행 동작은 해당 행에 합산·표기)</t>
        </is>
      </c>
    </row>
    <row r="3">
      <c r="A3" s="2" t="inlineStr">
        <is>
          <t>No</t>
        </is>
      </c>
      <c r="B3" s="2" t="inlineStr">
        <is>
          <t>Lv1</t>
        </is>
      </c>
      <c r="C3" s="2" t="inlineStr">
        <is>
          <t>Lv2 태스크</t>
        </is>
      </c>
      <c r="D3" s="2" t="inlineStr">
        <is>
          <t>실행 모드</t>
        </is>
      </c>
      <c r="E3" s="2" t="inlineStr">
        <is>
          <t>반복 단위</t>
        </is>
      </c>
      <c r="F3" s="2" t="inlineStr">
        <is>
          <t>Lv3 단계</t>
        </is>
      </c>
      <c r="G3" s="2" t="inlineStr">
        <is>
          <t>수행 주체</t>
        </is>
      </c>
      <c r="H3" s="2" t="inlineStr">
        <is>
          <t>소요시간(s)</t>
        </is>
      </c>
      <c r="I3" s="2" t="inlineStr">
        <is>
          <t>근거 유형</t>
        </is>
      </c>
      <c r="J3" s="2" t="inlineStr">
        <is>
          <t>근거 상세</t>
        </is>
      </c>
    </row>
    <row r="4">
      <c r="A4" s="3" t="n">
        <v>1</v>
      </c>
      <c r="B4" s="4" t="inlineStr">
        <is>
          <t>낱개 단위 출고 (휴머노이드)</t>
        </is>
      </c>
      <c r="C4" s="4" t="inlineStr">
        <is>
          <t>T0 로봇 기동 · 초기화</t>
        </is>
      </c>
      <c r="D4" s="4" t="inlineStr">
        <is>
          <t>세션 시작</t>
        </is>
      </c>
      <c r="E4" s="4" t="inlineStr">
        <is>
          <t>세션당 1회</t>
        </is>
      </c>
      <c r="F4" s="5" t="inlineStr">
        <is>
          <t>로봇 연결 · 센서 활성 대기</t>
        </is>
      </c>
      <c r="G4" s="5" t="inlineStr">
        <is>
          <t>시스템</t>
        </is>
      </c>
      <c r="H4" s="3" t="n">
        <v>4</v>
      </c>
      <c r="I4" s="6" t="inlineStr">
        <is>
          <t>실측</t>
        </is>
      </c>
      <c r="J4" s="5" t="inlineStr">
        <is>
          <t>세션 기동 1회 (09/09 16:56)</t>
        </is>
      </c>
    </row>
    <row r="5">
      <c r="A5" s="3" t="n">
        <v>2</v>
      </c>
      <c r="B5" s="4" t="inlineStr">
        <is>
          <t>낱개 단위 출고 (휴머노이드)</t>
        </is>
      </c>
      <c r="C5" s="4" t="inlineStr">
        <is>
          <t>T0 로봇 기동 · 초기화</t>
        </is>
      </c>
      <c r="D5" s="4" t="inlineStr">
        <is>
          <t>세션 시작</t>
        </is>
      </c>
      <c r="E5" s="4" t="inlineStr">
        <is>
          <t>세션당 1회</t>
        </is>
      </c>
      <c r="F5" s="5" t="inlineStr">
        <is>
          <t>좌·우팔 IK 모델 빌드 (URDF 파싱, 팔당 2회)</t>
        </is>
      </c>
      <c r="G5" s="5" t="inlineStr">
        <is>
          <t>시스템</t>
        </is>
      </c>
      <c r="H5" s="3" t="n">
        <v>20</v>
      </c>
      <c r="I5" s="6" t="inlineStr">
        <is>
          <t>실측</t>
        </is>
      </c>
      <c r="J5" s="5" t="inlineStr">
        <is>
          <t>세션 기동 1회 (09/09 16:56) — 4회 × 5s. 모델 캐시 적용 시 약 10s로 단축 가능</t>
        </is>
      </c>
    </row>
    <row r="6">
      <c r="A6" s="3" t="n">
        <v>3</v>
      </c>
      <c r="B6" s="4" t="inlineStr">
        <is>
          <t>낱개 단위 출고 (휴머노이드)</t>
        </is>
      </c>
      <c r="C6" s="4" t="inlineStr">
        <is>
          <t>T0 로봇 기동 · 초기화</t>
        </is>
      </c>
      <c r="D6" s="4" t="inlineStr">
        <is>
          <t>세션 시작</t>
        </is>
      </c>
      <c r="E6" s="4" t="inlineStr">
        <is>
          <t>세션당 1회</t>
        </is>
      </c>
      <c r="F6" s="5" t="inlineStr">
        <is>
          <t>그리퍼 초기화 + 검출기 3종 로드</t>
        </is>
      </c>
      <c r="G6" s="5" t="inlineStr">
        <is>
          <t>우팔 그리퍼 / 시스템</t>
        </is>
      </c>
      <c r="H6" s="3" t="n">
        <v>3</v>
      </c>
      <c r="I6" s="6" t="inlineStr">
        <is>
          <t>실측</t>
        </is>
      </c>
      <c r="J6" s="5" t="inlineStr">
        <is>
          <t>세션 기동 1회 (09/09 16:56)</t>
        </is>
      </c>
    </row>
    <row r="7">
      <c r="A7" s="3" t="n">
        <v>4</v>
      </c>
      <c r="B7" s="4" t="inlineStr">
        <is>
          <t>낱개 단위 출고 (휴머노이드)</t>
        </is>
      </c>
      <c r="C7" s="4" t="inlineStr">
        <is>
          <t>T0 로봇 기동 · 초기화</t>
        </is>
      </c>
      <c r="D7" s="4" t="inlineStr">
        <is>
          <t>세션 시작</t>
        </is>
      </c>
      <c r="E7" s="4" t="inlineStr">
        <is>
          <t>세션당 1회</t>
        </is>
      </c>
      <c r="F7" s="5" t="inlineStr">
        <is>
          <t>양팔 safe home</t>
        </is>
      </c>
      <c r="G7" s="5" t="inlineStr">
        <is>
          <t>양팔</t>
        </is>
      </c>
      <c r="H7" s="3" t="n">
        <v>1</v>
      </c>
      <c r="I7" s="6" t="inlineStr">
        <is>
          <t>실측</t>
        </is>
      </c>
      <c r="J7" s="5" t="inlineStr">
        <is>
          <t>세션 기동 1회 (09/09 16:56)</t>
        </is>
      </c>
    </row>
    <row r="8">
      <c r="A8" s="3" t="n">
        <v>5</v>
      </c>
      <c r="B8" s="4" t="inlineStr">
        <is>
          <t>낱개 단위 출고 (휴머노이드)</t>
        </is>
      </c>
      <c r="C8" s="4" t="inlineStr">
        <is>
          <t>T1 소스 Box 뚜껑 폐기</t>
        </is>
      </c>
      <c r="D8" s="4" t="inlineStr">
        <is>
          <t>--box-lid</t>
        </is>
      </c>
      <c r="E8" s="4" t="inlineStr">
        <is>
          <t>소스 Box당 1회</t>
        </is>
      </c>
      <c r="F8" s="5" t="inlineStr">
        <is>
          <t>Box 뚜껑 인식 (BEV + 깊이 보정)</t>
        </is>
      </c>
      <c r="G8" s="5" t="inlineStr">
        <is>
          <t>헤드 카메라</t>
        </is>
      </c>
      <c r="H8" s="3" t="n">
        <v>1</v>
      </c>
      <c r="I8" s="6" t="inlineStr">
        <is>
          <t>실측</t>
        </is>
      </c>
      <c r="J8" s="5" t="inlineStr">
        <is>
          <t>--box-lid 6회 (09/05~06)</t>
        </is>
      </c>
    </row>
    <row r="9">
      <c r="A9" s="3" t="n">
        <v>6</v>
      </c>
      <c r="B9" s="4" t="inlineStr">
        <is>
          <t>낱개 단위 출고 (휴머노이드)</t>
        </is>
      </c>
      <c r="C9" s="4" t="inlineStr">
        <is>
          <t>T1 소스 Box 뚜껑 폐기</t>
        </is>
      </c>
      <c r="D9" s="4" t="inlineStr">
        <is>
          <t>--box-lid</t>
        </is>
      </c>
      <c r="E9" s="4" t="inlineStr">
        <is>
          <t>소스 Box당 1회</t>
        </is>
      </c>
      <c r="F9" s="5" t="inlineStr">
        <is>
          <t>Arm 뚜껑 위로 접근</t>
        </is>
      </c>
      <c r="G9" s="5" t="inlineStr">
        <is>
          <t>좌팔</t>
        </is>
      </c>
      <c r="H9" s="3" t="n">
        <v>3</v>
      </c>
      <c r="I9" s="6" t="inlineStr">
        <is>
          <t>실측</t>
        </is>
      </c>
      <c r="J9" s="5" t="inlineStr">
        <is>
          <t>--box-lid 6회 (09/05~06) 2.5~2.8s</t>
        </is>
      </c>
    </row>
    <row r="10">
      <c r="A10" s="3" t="n">
        <v>7</v>
      </c>
      <c r="B10" s="4" t="inlineStr">
        <is>
          <t>낱개 단위 출고 (휴머노이드)</t>
        </is>
      </c>
      <c r="C10" s="4" t="inlineStr">
        <is>
          <t>T1 소스 Box 뚜껑 폐기</t>
        </is>
      </c>
      <c r="D10" s="4" t="inlineStr">
        <is>
          <t>--box-lid</t>
        </is>
      </c>
      <c r="E10" s="4" t="inlineStr">
        <is>
          <t>소스 Box당 1회</t>
        </is>
      </c>
      <c r="F10" s="5" t="inlineStr">
        <is>
          <t>뚜껑 흡착 (종이, 약한 힘)</t>
        </is>
      </c>
      <c r="G10" s="5" t="inlineStr">
        <is>
          <t>좌팔 흡착</t>
        </is>
      </c>
      <c r="H10" s="3" t="n">
        <v>4</v>
      </c>
      <c r="I10" s="6" t="inlineStr">
        <is>
          <t>실측</t>
        </is>
      </c>
      <c r="J10" s="5" t="inlineStr">
        <is>
          <t>--box-lid 6회 (09/05~06) 전형 4.0s, 재시도 시 6~12s</t>
        </is>
      </c>
    </row>
    <row r="11">
      <c r="A11" s="3" t="n">
        <v>8</v>
      </c>
      <c r="B11" s="4" t="inlineStr">
        <is>
          <t>낱개 단위 출고 (휴머노이드)</t>
        </is>
      </c>
      <c r="C11" s="4" t="inlineStr">
        <is>
          <t>T1 소스 Box 뚜껑 폐기</t>
        </is>
      </c>
      <c r="D11" s="4" t="inlineStr">
        <is>
          <t>--box-lid</t>
        </is>
      </c>
      <c r="E11" s="4" t="inlineStr">
        <is>
          <t>소스 Box당 1회</t>
        </is>
      </c>
      <c r="F11" s="5" t="inlineStr">
        <is>
          <t>Arm 상승</t>
        </is>
      </c>
      <c r="G11" s="5" t="inlineStr">
        <is>
          <t>좌팔</t>
        </is>
      </c>
      <c r="H11" s="3" t="n">
        <v>2</v>
      </c>
      <c r="I11" s="6" t="inlineStr">
        <is>
          <t>실측</t>
        </is>
      </c>
      <c r="J11" s="5" t="inlineStr">
        <is>
          <t>--box-lid 6회 (09/05~06) 1.7s</t>
        </is>
      </c>
    </row>
    <row r="12">
      <c r="A12" s="3" t="n">
        <v>9</v>
      </c>
      <c r="B12" s="4" t="inlineStr">
        <is>
          <t>낱개 단위 출고 (휴머노이드)</t>
        </is>
      </c>
      <c r="C12" s="4" t="inlineStr">
        <is>
          <t>T1 소스 Box 뚜껑 폐기</t>
        </is>
      </c>
      <c r="D12" s="4" t="inlineStr">
        <is>
          <t>--box-lid</t>
        </is>
      </c>
      <c r="E12" s="4" t="inlineStr">
        <is>
          <t>소스 Box당 1회</t>
        </is>
      </c>
      <c r="F12" s="5" t="inlineStr">
        <is>
          <t>뚜껑 핸드오프 (좌팔 컵 → 우팔 그리퍼 측면 파지)</t>
        </is>
      </c>
      <c r="G12" s="5" t="inlineStr">
        <is>
          <t>양팔</t>
        </is>
      </c>
      <c r="H12" s="3" t="n">
        <v>27</v>
      </c>
      <c r="I12" s="6" t="inlineStr">
        <is>
          <t>실측</t>
        </is>
      </c>
      <c r="J12" s="5" t="inlineStr">
        <is>
          <t>--box-lid 6회 (09/05~06) 최신 코드 4회 26.7~27.3s</t>
        </is>
      </c>
    </row>
    <row r="13">
      <c r="A13" s="3" t="n">
        <v>10</v>
      </c>
      <c r="B13" s="4" t="inlineStr">
        <is>
          <t>낱개 단위 출고 (휴머노이드)</t>
        </is>
      </c>
      <c r="C13" s="4" t="inlineStr">
        <is>
          <t>T1 소스 Box 뚜껑 폐기</t>
        </is>
      </c>
      <c r="D13" s="4" t="inlineStr">
        <is>
          <t>--box-lid</t>
        </is>
      </c>
      <c r="E13" s="4" t="inlineStr">
        <is>
          <t>소스 Box당 1회</t>
        </is>
      </c>
      <c r="F13" s="5" t="inlineStr">
        <is>
          <t>이동(폐기 포지션) — 주행 중 torso 기울임·좌팔 home 병행</t>
        </is>
      </c>
      <c r="G13" s="5" t="inlineStr">
        <is>
          <t>섀시 + torso</t>
        </is>
      </c>
      <c r="H13" s="3" t="n">
        <v>7</v>
      </c>
      <c r="I13" s="7" t="inlineStr">
        <is>
          <t>실측(상한)</t>
        </is>
      </c>
      <c r="J13" s="5" t="inlineStr">
        <is>
          <t>프롬프트~`d` 입력 대기 (09/09 1회). 조이스틱 주행 미기록 → 상한값. torso 기울임 6.4s(속도 0.3)는 주행과 병행 전제 (현재 코드는 순차)</t>
        </is>
      </c>
    </row>
    <row r="14">
      <c r="A14" s="3" t="n">
        <v>11</v>
      </c>
      <c r="B14" s="4" t="inlineStr">
        <is>
          <t>낱개 단위 출고 (휴머노이드)</t>
        </is>
      </c>
      <c r="C14" s="4" t="inlineStr">
        <is>
          <t>T1 소스 Box 뚜껑 폐기</t>
        </is>
      </c>
      <c r="D14" s="4" t="inlineStr">
        <is>
          <t>--box-lid</t>
        </is>
      </c>
      <c r="E14" s="4" t="inlineStr">
        <is>
          <t>소스 Box당 1회</t>
        </is>
      </c>
      <c r="F14" s="5" t="inlineStr">
        <is>
          <t>뚜껑 드롭 (우팔 드롭 자세 이동 + 그리퍼 개방)</t>
        </is>
      </c>
      <c r="G14" s="5" t="inlineStr">
        <is>
          <t>우팔 그리퍼</t>
        </is>
      </c>
      <c r="H14" s="3" t="n">
        <v>4</v>
      </c>
      <c r="I14" s="8" t="inlineStr">
        <is>
          <t>지정값</t>
        </is>
      </c>
      <c r="J14" s="5" t="inlineStr">
        <is>
          <t>드롭까지 도달한 실행 없음 — 협의 지정값</t>
        </is>
      </c>
    </row>
    <row r="15">
      <c r="A15" s="3" t="n">
        <v>12</v>
      </c>
      <c r="B15" s="4" t="inlineStr">
        <is>
          <t>낱개 단위 출고 (휴머노이드)</t>
        </is>
      </c>
      <c r="C15" s="4" t="inlineStr">
        <is>
          <t>T1 소스 Box 뚜껑 폐기</t>
        </is>
      </c>
      <c r="D15" s="4" t="inlineStr">
        <is>
          <t>--box-lid</t>
        </is>
      </c>
      <c r="E15" s="4" t="inlineStr">
        <is>
          <t>소스 Box당 1회</t>
        </is>
      </c>
      <c r="F15" s="5" t="inlineStr">
        <is>
          <t>이동(소스 포지션 복귀) — 주행 중 torso 복귀 병행</t>
        </is>
      </c>
      <c r="G15" s="5" t="inlineStr">
        <is>
          <t>섀시 + torso</t>
        </is>
      </c>
      <c r="H15" s="3" t="n">
        <v>7</v>
      </c>
      <c r="I15" s="7" t="inlineStr">
        <is>
          <t>실측(상한)</t>
        </is>
      </c>
      <c r="J15" s="5" t="inlineStr">
        <is>
          <t>폐기 포지션 이동과 같은 경로 역방향 가정</t>
        </is>
      </c>
    </row>
    <row r="16">
      <c r="A16" s="3" t="n">
        <v>13</v>
      </c>
      <c r="B16" s="4" t="inlineStr">
        <is>
          <t>낱개 단위 출고 (휴머노이드)</t>
        </is>
      </c>
      <c r="C16" s="4" t="inlineStr">
        <is>
          <t>T2 P-Box 뚜껑 개방 · 보관</t>
        </is>
      </c>
      <c r="D16" s="4" t="inlineStr">
        <is>
          <t>--lid</t>
        </is>
      </c>
      <c r="E16" s="4" t="inlineStr">
        <is>
          <t>P-Box당 1회 (Target / Tray / 잔량 = 3회)</t>
        </is>
      </c>
      <c r="F16" s="5" t="inlineStr">
        <is>
          <t>이동(P-Box 포지션)</t>
        </is>
      </c>
      <c r="G16" s="5" t="inlineStr">
        <is>
          <t>섀시</t>
        </is>
      </c>
      <c r="H16" s="3" t="n">
        <v>5</v>
      </c>
      <c r="I16" s="7" t="inlineStr">
        <is>
          <t>실측(상한)</t>
        </is>
      </c>
      <c r="J16" s="5" t="inlineStr">
        <is>
          <t>프롬프트~`d` 입력 대기 (09/09 1회). 조이스틱 주행 미기록 → 상한값</t>
        </is>
      </c>
    </row>
    <row r="17">
      <c r="A17" s="3" t="n">
        <v>14</v>
      </c>
      <c r="B17" s="4" t="inlineStr">
        <is>
          <t>낱개 단위 출고 (휴머노이드)</t>
        </is>
      </c>
      <c r="C17" s="4" t="inlineStr">
        <is>
          <t>T2 P-Box 뚜껑 개방 · 보관</t>
        </is>
      </c>
      <c r="D17" s="4" t="inlineStr">
        <is>
          <t>--lid</t>
        </is>
      </c>
      <c r="E17" s="4" t="inlineStr">
        <is>
          <t>P-Box당 1회 (Target / Tray / 잔량 = 3회)</t>
        </is>
      </c>
      <c r="F17" s="5" t="inlineStr">
        <is>
          <t>P-Box 뚜껑 인식 (BEV + 깊이 보정)</t>
        </is>
      </c>
      <c r="G17" s="5" t="inlineStr">
        <is>
          <t>헤드 카메라</t>
        </is>
      </c>
      <c r="H17" s="3" t="n">
        <v>1</v>
      </c>
      <c r="I17" s="6" t="inlineStr">
        <is>
          <t>실측</t>
        </is>
      </c>
      <c r="J17" s="5" t="inlineStr">
        <is>
          <t>--lid 1회 (09/09 16:57)</t>
        </is>
      </c>
    </row>
    <row r="18">
      <c r="A18" s="3" t="n">
        <v>15</v>
      </c>
      <c r="B18" s="4" t="inlineStr">
        <is>
          <t>낱개 단위 출고 (휴머노이드)</t>
        </is>
      </c>
      <c r="C18" s="4" t="inlineStr">
        <is>
          <t>T2 P-Box 뚜껑 개방 · 보관</t>
        </is>
      </c>
      <c r="D18" s="4" t="inlineStr">
        <is>
          <t>--lid</t>
        </is>
      </c>
      <c r="E18" s="4" t="inlineStr">
        <is>
          <t>P-Box당 1회 (Target / Tray / 잔량 = 3회)</t>
        </is>
      </c>
      <c r="F18" s="5" t="inlineStr">
        <is>
          <t>Arm 뚜껑 위로 접근</t>
        </is>
      </c>
      <c r="G18" s="5" t="inlineStr">
        <is>
          <t>좌팔</t>
        </is>
      </c>
      <c r="H18" s="3" t="n">
        <v>2</v>
      </c>
      <c r="I18" s="6" t="inlineStr">
        <is>
          <t>실측</t>
        </is>
      </c>
      <c r="J18" s="5" t="inlineStr">
        <is>
          <t>--lid 1회 (09/09 16:57) 1.4s</t>
        </is>
      </c>
    </row>
    <row r="19">
      <c r="A19" s="3" t="n">
        <v>16</v>
      </c>
      <c r="B19" s="4" t="inlineStr">
        <is>
          <t>낱개 단위 출고 (휴머노이드)</t>
        </is>
      </c>
      <c r="C19" s="4" t="inlineStr">
        <is>
          <t>T2 P-Box 뚜껑 개방 · 보관</t>
        </is>
      </c>
      <c r="D19" s="4" t="inlineStr">
        <is>
          <t>--lid</t>
        </is>
      </c>
      <c r="E19" s="4" t="inlineStr">
        <is>
          <t>P-Box당 1회 (Target / Tray / 잔량 = 3회)</t>
        </is>
      </c>
      <c r="F19" s="5" t="inlineStr">
        <is>
          <t>뚜껑 흡착</t>
        </is>
      </c>
      <c r="G19" s="5" t="inlineStr">
        <is>
          <t>좌팔 흡착</t>
        </is>
      </c>
      <c r="H19" s="3" t="n">
        <v>3</v>
      </c>
      <c r="I19" s="6" t="inlineStr">
        <is>
          <t>실측</t>
        </is>
      </c>
      <c r="J19" s="5" t="inlineStr">
        <is>
          <t>--lid 1회 (09/09 16:57) 3.0s</t>
        </is>
      </c>
    </row>
    <row r="20">
      <c r="A20" s="3" t="n">
        <v>17</v>
      </c>
      <c r="B20" s="4" t="inlineStr">
        <is>
          <t>낱개 단위 출고 (휴머노이드)</t>
        </is>
      </c>
      <c r="C20" s="4" t="inlineStr">
        <is>
          <t>T2 P-Box 뚜껑 개방 · 보관</t>
        </is>
      </c>
      <c r="D20" s="4" t="inlineStr">
        <is>
          <t>--lid</t>
        </is>
      </c>
      <c r="E20" s="4" t="inlineStr">
        <is>
          <t>P-Box당 1회 (Target / Tray / 잔량 = 3회)</t>
        </is>
      </c>
      <c r="F20" s="5" t="inlineStr">
        <is>
          <t>Arm 상승</t>
        </is>
      </c>
      <c r="G20" s="5" t="inlineStr">
        <is>
          <t>좌팔</t>
        </is>
      </c>
      <c r="H20" s="3" t="n">
        <v>1</v>
      </c>
      <c r="I20" s="6" t="inlineStr">
        <is>
          <t>실측</t>
        </is>
      </c>
      <c r="J20" s="5" t="inlineStr">
        <is>
          <t>--lid 1회 (09/09 16:57) 1.3s</t>
        </is>
      </c>
    </row>
    <row r="21">
      <c r="A21" s="3" t="n">
        <v>18</v>
      </c>
      <c r="B21" s="4" t="inlineStr">
        <is>
          <t>낱개 단위 출고 (휴머노이드)</t>
        </is>
      </c>
      <c r="C21" s="4" t="inlineStr">
        <is>
          <t>T2 P-Box 뚜껑 개방 · 보관</t>
        </is>
      </c>
      <c r="D21" s="4" t="inlineStr">
        <is>
          <t>--lid</t>
        </is>
      </c>
      <c r="E21" s="4" t="inlineStr">
        <is>
          <t>P-Box당 1회 (Target / Tray / 잔량 = 3회)</t>
        </is>
      </c>
      <c r="F21" s="5" t="inlineStr">
        <is>
          <t>이동(뚜껑 보관 위치) — 주행 중 torso 기울임·양팔 stow 병행</t>
        </is>
      </c>
      <c r="G21" s="5" t="inlineStr">
        <is>
          <t>섀시 + torso</t>
        </is>
      </c>
      <c r="H21" s="3" t="n">
        <v>7</v>
      </c>
      <c r="I21" s="7" t="inlineStr">
        <is>
          <t>실측(상한)</t>
        </is>
      </c>
      <c r="J21" s="5" t="inlineStr">
        <is>
          <t>프롬프트~`d` 입력 대기 (09/09 1회). 조이스틱 주행 미기록 → 상한값. torso 기울임 6.4s 병행 전제 (현재 코드는 순차)</t>
        </is>
      </c>
    </row>
    <row r="22">
      <c r="A22" s="3" t="n">
        <v>19</v>
      </c>
      <c r="B22" s="4" t="inlineStr">
        <is>
          <t>낱개 단위 출고 (휴머노이드)</t>
        </is>
      </c>
      <c r="C22" s="4" t="inlineStr">
        <is>
          <t>T2 P-Box 뚜껑 개방 · 보관</t>
        </is>
      </c>
      <c r="D22" s="4" t="inlineStr">
        <is>
          <t>--lid</t>
        </is>
      </c>
      <c r="E22" s="4" t="inlineStr">
        <is>
          <t>P-Box당 1회 (Target / Tray / 잔량 = 3회)</t>
        </is>
      </c>
      <c r="F22" s="5" t="inlineStr">
        <is>
          <t>보관 위치 인식 + 섀시 정렬 (인식 3회, 미세이동 4회)</t>
        </is>
      </c>
      <c r="G22" s="5" t="inlineStr">
        <is>
          <t>헤드 카메라 + 섀시</t>
        </is>
      </c>
      <c r="H22" s="3" t="n">
        <v>8</v>
      </c>
      <c r="I22" s="6" t="inlineStr">
        <is>
          <t>실측</t>
        </is>
      </c>
      <c r="J22" s="5" t="inlineStr">
        <is>
          <t>--lid 1회 (09/09 16:57) 8.1s</t>
        </is>
      </c>
    </row>
    <row r="23">
      <c r="A23" s="3" t="n">
        <v>20</v>
      </c>
      <c r="B23" s="4" t="inlineStr">
        <is>
          <t>낱개 단위 출고 (휴머노이드)</t>
        </is>
      </c>
      <c r="C23" s="4" t="inlineStr">
        <is>
          <t>T2 P-Box 뚜껑 개방 · 보관</t>
        </is>
      </c>
      <c r="D23" s="4" t="inlineStr">
        <is>
          <t>--lid</t>
        </is>
      </c>
      <c r="E23" s="4" t="inlineStr">
        <is>
          <t>P-Box당 1회 (Target / Tray / 잔량 = 3회)</t>
        </is>
      </c>
      <c r="F23" s="5" t="inlineStr">
        <is>
          <t>Arm 하강 · 릴리즈 · 상승</t>
        </is>
      </c>
      <c r="G23" s="5" t="inlineStr">
        <is>
          <t>좌팔 흡착</t>
        </is>
      </c>
      <c r="H23" s="3" t="n">
        <v>7</v>
      </c>
      <c r="I23" s="6" t="inlineStr">
        <is>
          <t>실측</t>
        </is>
      </c>
      <c r="J23" s="5" t="inlineStr">
        <is>
          <t>--lid 1회 (09/09 16:57) 7.2s. 이후 torso 복귀 6.4s는 다음 이동과 병행 전제</t>
        </is>
      </c>
    </row>
    <row r="24">
      <c r="A24" s="3" t="n">
        <v>21</v>
      </c>
      <c r="B24" s="4" t="inlineStr">
        <is>
          <t>낱개 단위 출고 (휴머노이드)</t>
        </is>
      </c>
      <c r="C24" s="4" t="inlineStr">
        <is>
          <t>T3 Tray 이재 (소스 → 타겟 P-Box)</t>
        </is>
      </c>
      <c r="D24" s="4" t="inlineStr">
        <is>
          <t>기본 루프 run_item(case)</t>
        </is>
      </c>
      <c r="E24" s="4" t="inlineStr">
        <is>
          <t>층당 1회</t>
        </is>
      </c>
      <c r="F24" s="5" t="inlineStr">
        <is>
          <t>이동(소스 포지션 복귀)</t>
        </is>
      </c>
      <c r="G24" s="5" t="inlineStr">
        <is>
          <t>섀시</t>
        </is>
      </c>
      <c r="H24" s="3" t="n">
        <v>3</v>
      </c>
      <c r="I24" s="6" t="inlineStr">
        <is>
          <t>실측</t>
        </is>
      </c>
      <c r="J24" s="5" t="inlineStr">
        <is>
          <t>run_item 65사이클 중앙값 (09/03~07 로그)</t>
        </is>
      </c>
    </row>
    <row r="25">
      <c r="A25" s="3" t="n">
        <v>22</v>
      </c>
      <c r="B25" s="4" t="inlineStr">
        <is>
          <t>낱개 단위 출고 (휴머노이드)</t>
        </is>
      </c>
      <c r="C25" s="4" t="inlineStr">
        <is>
          <t>T3 Tray 이재 (소스 → 타겟 P-Box)</t>
        </is>
      </c>
      <c r="D25" s="4" t="inlineStr">
        <is>
          <t>기본 루프 run_item(case)</t>
        </is>
      </c>
      <c r="E25" s="4" t="inlineStr">
        <is>
          <t>층당 1회</t>
        </is>
      </c>
      <c r="F25" s="5" t="inlineStr">
        <is>
          <t>Tray 인식 (BEV)</t>
        </is>
      </c>
      <c r="G25" s="5" t="inlineStr">
        <is>
          <t>헤드 카메라</t>
        </is>
      </c>
      <c r="H25" s="3" t="n">
        <v>3</v>
      </c>
      <c r="I25" s="6" t="inlineStr">
        <is>
          <t>실측</t>
        </is>
      </c>
      <c r="J25" s="5" t="inlineStr">
        <is>
          <t>run_item 65사이클 중앙값 (09/03~07 로그)</t>
        </is>
      </c>
    </row>
    <row r="26">
      <c r="A26" s="3" t="n">
        <v>23</v>
      </c>
      <c r="B26" s="4" t="inlineStr">
        <is>
          <t>낱개 단위 출고 (휴머노이드)</t>
        </is>
      </c>
      <c r="C26" s="4" t="inlineStr">
        <is>
          <t>T3 Tray 이재 (소스 → 타겟 P-Box)</t>
        </is>
      </c>
      <c r="D26" s="4" t="inlineStr">
        <is>
          <t>기본 루프 run_item(case)</t>
        </is>
      </c>
      <c r="E26" s="4" t="inlineStr">
        <is>
          <t>층당 1회</t>
        </is>
      </c>
      <c r="F26" s="5" t="inlineStr">
        <is>
          <t>Arm Tray 위로 접근</t>
        </is>
      </c>
      <c r="G26" s="5" t="inlineStr">
        <is>
          <t>좌팔</t>
        </is>
      </c>
      <c r="H26" s="3" t="n">
        <v>3</v>
      </c>
      <c r="I26" s="6" t="inlineStr">
        <is>
          <t>실측</t>
        </is>
      </c>
      <c r="J26" s="5" t="inlineStr">
        <is>
          <t>run_item 65사이클 중앙값 (09/03~07 로그)</t>
        </is>
      </c>
    </row>
    <row r="27">
      <c r="A27" s="3" t="n">
        <v>24</v>
      </c>
      <c r="B27" s="4" t="inlineStr">
        <is>
          <t>낱개 단위 출고 (휴머노이드)</t>
        </is>
      </c>
      <c r="C27" s="4" t="inlineStr">
        <is>
          <t>T3 Tray 이재 (소스 → 타겟 P-Box)</t>
        </is>
      </c>
      <c r="D27" s="4" t="inlineStr">
        <is>
          <t>기본 루프 run_item(case)</t>
        </is>
      </c>
      <c r="E27" s="4" t="inlineStr">
        <is>
          <t>층당 1회</t>
        </is>
      </c>
      <c r="F27" s="5" t="inlineStr">
        <is>
          <t>Tray 흡착</t>
        </is>
      </c>
      <c r="G27" s="5" t="inlineStr">
        <is>
          <t>좌팔 흡착</t>
        </is>
      </c>
      <c r="H27" s="3" t="n">
        <v>3</v>
      </c>
      <c r="I27" s="6" t="inlineStr">
        <is>
          <t>실측</t>
        </is>
      </c>
      <c r="J27" s="5" t="inlineStr">
        <is>
          <t>run_item 65사이클 중앙값 (09/03~07 로그)</t>
        </is>
      </c>
    </row>
    <row r="28">
      <c r="A28" s="3" t="n">
        <v>25</v>
      </c>
      <c r="B28" s="4" t="inlineStr">
        <is>
          <t>낱개 단위 출고 (휴머노이드)</t>
        </is>
      </c>
      <c r="C28" s="4" t="inlineStr">
        <is>
          <t>T3 Tray 이재 (소스 → 타겟 P-Box)</t>
        </is>
      </c>
      <c r="D28" s="4" t="inlineStr">
        <is>
          <t>기본 루프 run_item(case)</t>
        </is>
      </c>
      <c r="E28" s="4" t="inlineStr">
        <is>
          <t>층당 1회</t>
        </is>
      </c>
      <c r="F28" s="5" t="inlineStr">
        <is>
          <t>Arm 상승</t>
        </is>
      </c>
      <c r="G28" s="5" t="inlineStr">
        <is>
          <t>좌팔</t>
        </is>
      </c>
      <c r="H28" s="3" t="n">
        <v>3</v>
      </c>
      <c r="I28" s="6" t="inlineStr">
        <is>
          <t>실측</t>
        </is>
      </c>
      <c r="J28" s="5" t="inlineStr">
        <is>
          <t>run_item 65사이클 중앙값 (09/03~07 로그)</t>
        </is>
      </c>
    </row>
    <row r="29">
      <c r="A29" s="3" t="n">
        <v>26</v>
      </c>
      <c r="B29" s="4" t="inlineStr">
        <is>
          <t>낱개 단위 출고 (휴머노이드)</t>
        </is>
      </c>
      <c r="C29" s="4" t="inlineStr">
        <is>
          <t>T3 Tray 이재 (소스 → 타겟 P-Box)</t>
        </is>
      </c>
      <c r="D29" s="4" t="inlineStr">
        <is>
          <t>기본 루프 run_item(case)</t>
        </is>
      </c>
      <c r="E29" s="4" t="inlineStr">
        <is>
          <t>층당 1회</t>
        </is>
      </c>
      <c r="F29" s="5" t="inlineStr">
        <is>
          <t>이동(타겟 포지션, 0.5 m) — 주행 중 타겟 스택 인식 병행</t>
        </is>
      </c>
      <c r="G29" s="5" t="inlineStr">
        <is>
          <t>섀시 + 헤드 카메라</t>
        </is>
      </c>
      <c r="H29" s="3" t="n">
        <v>4</v>
      </c>
      <c r="I29" s="6" t="inlineStr">
        <is>
          <t>실측</t>
        </is>
      </c>
      <c r="J29" s="5" t="inlineStr">
        <is>
          <t>run_item 65사이클 중앙값 (09/03~07 로그). 인식은 타겟 P-Box가 아니라 스택 맨 위 Tray</t>
        </is>
      </c>
    </row>
    <row r="30">
      <c r="A30" s="3" t="n">
        <v>27</v>
      </c>
      <c r="B30" s="4" t="inlineStr">
        <is>
          <t>낱개 단위 출고 (휴머노이드)</t>
        </is>
      </c>
      <c r="C30" s="4" t="inlineStr">
        <is>
          <t>T3 Tray 이재 (소스 → 타겟 P-Box)</t>
        </is>
      </c>
      <c r="D30" s="4" t="inlineStr">
        <is>
          <t>기본 루프 run_item(case)</t>
        </is>
      </c>
      <c r="E30" s="4" t="inlineStr">
        <is>
          <t>층당 1회</t>
        </is>
      </c>
      <c r="F30" s="5" t="inlineStr">
        <is>
          <t>Arm Tray 위로 접근</t>
        </is>
      </c>
      <c r="G30" s="5" t="inlineStr">
        <is>
          <t>좌팔</t>
        </is>
      </c>
      <c r="H30" s="3" t="n">
        <v>2</v>
      </c>
      <c r="I30" s="6" t="inlineStr">
        <is>
          <t>실측</t>
        </is>
      </c>
      <c r="J30" s="5" t="inlineStr">
        <is>
          <t>run_item 65사이클 중앙값 (09/03~07 로그)</t>
        </is>
      </c>
    </row>
    <row r="31">
      <c r="A31" s="3" t="n">
        <v>28</v>
      </c>
      <c r="B31" s="4" t="inlineStr">
        <is>
          <t>낱개 단위 출고 (휴머노이드)</t>
        </is>
      </c>
      <c r="C31" s="4" t="inlineStr">
        <is>
          <t>T3 Tray 이재 (소스 → 타겟 P-Box)</t>
        </is>
      </c>
      <c r="D31" s="4" t="inlineStr">
        <is>
          <t>기본 루프 run_item(case)</t>
        </is>
      </c>
      <c r="E31" s="4" t="inlineStr">
        <is>
          <t>층당 1회</t>
        </is>
      </c>
      <c r="F31" s="5" t="inlineStr">
        <is>
          <t>Tray 내림 (코너 시트)</t>
        </is>
      </c>
      <c r="G31" s="5" t="inlineStr">
        <is>
          <t>좌팔 흡착</t>
        </is>
      </c>
      <c r="H31" s="3" t="n">
        <v>5</v>
      </c>
      <c r="I31" s="6" t="inlineStr">
        <is>
          <t>실측</t>
        </is>
      </c>
      <c r="J31" s="5" t="inlineStr">
        <is>
          <t>run_item 65사이클 중앙값 (09/03~07 로그)</t>
        </is>
      </c>
    </row>
    <row r="32">
      <c r="A32" s="3" t="n">
        <v>29</v>
      </c>
      <c r="B32" s="4" t="inlineStr">
        <is>
          <t>낱개 단위 출고 (휴머노이드)</t>
        </is>
      </c>
      <c r="C32" s="4" t="inlineStr">
        <is>
          <t>T3 Tray 이재 (소스 → 타겟 P-Box)</t>
        </is>
      </c>
      <c r="D32" s="4" t="inlineStr">
        <is>
          <t>기본 루프 run_item(case)</t>
        </is>
      </c>
      <c r="E32" s="4" t="inlineStr">
        <is>
          <t>층당 1회</t>
        </is>
      </c>
      <c r="F32" s="5" t="inlineStr">
        <is>
          <t>Arm 상승</t>
        </is>
      </c>
      <c r="G32" s="5" t="inlineStr">
        <is>
          <t>좌팔</t>
        </is>
      </c>
      <c r="H32" s="3" t="n">
        <v>5</v>
      </c>
      <c r="I32" s="6" t="inlineStr">
        <is>
          <t>실측</t>
        </is>
      </c>
      <c r="J32" s="5" t="inlineStr">
        <is>
          <t>run_item 65사이클 중앙값 (09/03~07 로그)</t>
        </is>
      </c>
    </row>
    <row r="33">
      <c r="A33" s="3" t="n">
        <v>30</v>
      </c>
      <c r="B33" s="4" t="inlineStr">
        <is>
          <t>낱개 단위 출고 (휴머노이드)</t>
        </is>
      </c>
      <c r="C33" s="4" t="inlineStr">
        <is>
          <t>T4 Cell 판독 · 이재 (Target → 타겟 P-Box)</t>
        </is>
      </c>
      <c r="D33" s="4" t="inlineStr">
        <is>
          <t>기본 루프 run_item(battery, 스캔 일치)</t>
        </is>
      </c>
      <c r="E33" s="4" t="inlineStr">
        <is>
          <t>Target Cell 1개당</t>
        </is>
      </c>
      <c r="F33" s="5" t="inlineStr">
        <is>
          <t>이동(소스 포지션 복귀)</t>
        </is>
      </c>
      <c r="G33" s="5" t="inlineStr">
        <is>
          <t>섀시</t>
        </is>
      </c>
      <c r="H33" s="3" t="n">
        <v>1</v>
      </c>
      <c r="I33" s="6" t="inlineStr">
        <is>
          <t>실측</t>
        </is>
      </c>
      <c r="J33" s="5" t="inlineStr">
        <is>
          <t>run_item 65사이클 중앙값 (09/03~07 로그)</t>
        </is>
      </c>
    </row>
    <row r="34">
      <c r="A34" s="3" t="n">
        <v>31</v>
      </c>
      <c r="B34" s="4" t="inlineStr">
        <is>
          <t>낱개 단위 출고 (휴머노이드)</t>
        </is>
      </c>
      <c r="C34" s="4" t="inlineStr">
        <is>
          <t>T4 Cell 판독 · 이재 (Target → 타겟 P-Box)</t>
        </is>
      </c>
      <c r="D34" s="4" t="inlineStr">
        <is>
          <t>기본 루프 run_item(battery, 스캔 일치)</t>
        </is>
      </c>
      <c r="E34" s="4" t="inlineStr">
        <is>
          <t>Target Cell 1개당</t>
        </is>
      </c>
      <c r="F34" s="5" t="inlineStr">
        <is>
          <t>Arm Cell 위로 접근 (Tray 인식 기준 고정 offset — Cell 개별 인식 없음)</t>
        </is>
      </c>
      <c r="G34" s="5" t="inlineStr">
        <is>
          <t>좌팔</t>
        </is>
      </c>
      <c r="H34" s="3" t="n">
        <v>2</v>
      </c>
      <c r="I34" s="6" t="inlineStr">
        <is>
          <t>실측</t>
        </is>
      </c>
      <c r="J34" s="5" t="inlineStr">
        <is>
          <t>run_item 65사이클 중앙값 (09/03~07 로그)</t>
        </is>
      </c>
    </row>
    <row r="35">
      <c r="A35" s="3" t="n">
        <v>32</v>
      </c>
      <c r="B35" s="4" t="inlineStr">
        <is>
          <t>낱개 단위 출고 (휴머노이드)</t>
        </is>
      </c>
      <c r="C35" s="4" t="inlineStr">
        <is>
          <t>T4 Cell 판독 · 이재 (Target → 타겟 P-Box)</t>
        </is>
      </c>
      <c r="D35" s="4" t="inlineStr">
        <is>
          <t>기본 루프 run_item(battery, 스캔 일치)</t>
        </is>
      </c>
      <c r="E35" s="4" t="inlineStr">
        <is>
          <t>Target Cell 1개당</t>
        </is>
      </c>
      <c r="F35" s="5" t="inlineStr">
        <is>
          <t>Cell 흡착 + 바코드 스캔 + Target 판정 (동시)</t>
        </is>
      </c>
      <c r="G35" s="5" t="inlineStr">
        <is>
          <t>좌팔 흡착 + 스캐너</t>
        </is>
      </c>
      <c r="H35" s="3" t="n">
        <v>4</v>
      </c>
      <c r="I35" s="6" t="inlineStr">
        <is>
          <t>실측</t>
        </is>
      </c>
      <c r="J35" s="5" t="inlineStr">
        <is>
          <t>run_item 65사이클 중앙값 (09/03~07 로그). 09/09 스캔 재시도 1회 13s 관측</t>
        </is>
      </c>
    </row>
    <row r="36">
      <c r="A36" s="3" t="n">
        <v>33</v>
      </c>
      <c r="B36" s="4" t="inlineStr">
        <is>
          <t>낱개 단위 출고 (휴머노이드)</t>
        </is>
      </c>
      <c r="C36" s="4" t="inlineStr">
        <is>
          <t>T4 Cell 판독 · 이재 (Target → 타겟 P-Box)</t>
        </is>
      </c>
      <c r="D36" s="4" t="inlineStr">
        <is>
          <t>기본 루프 run_item(battery, 스캔 일치)</t>
        </is>
      </c>
      <c r="E36" s="4" t="inlineStr">
        <is>
          <t>Target Cell 1개당</t>
        </is>
      </c>
      <c r="F36" s="5" t="inlineStr">
        <is>
          <t>Arm 상승</t>
        </is>
      </c>
      <c r="G36" s="5" t="inlineStr">
        <is>
          <t>좌팔</t>
        </is>
      </c>
      <c r="H36" s="3" t="n">
        <v>1</v>
      </c>
      <c r="I36" s="6" t="inlineStr">
        <is>
          <t>실측</t>
        </is>
      </c>
      <c r="J36" s="5" t="inlineStr">
        <is>
          <t>run_item 65사이클 중앙값 (09/03~07 로그)</t>
        </is>
      </c>
    </row>
    <row r="37">
      <c r="A37" s="3" t="n">
        <v>34</v>
      </c>
      <c r="B37" s="4" t="inlineStr">
        <is>
          <t>낱개 단위 출고 (휴머노이드)</t>
        </is>
      </c>
      <c r="C37" s="4" t="inlineStr">
        <is>
          <t>T4 Cell 판독 · 이재 (Target → 타겟 P-Box)</t>
        </is>
      </c>
      <c r="D37" s="4" t="inlineStr">
        <is>
          <t>기본 루프 run_item(battery, 스캔 일치)</t>
        </is>
      </c>
      <c r="E37" s="4" t="inlineStr">
        <is>
          <t>Target Cell 1개당</t>
        </is>
      </c>
      <c r="F37" s="5" t="inlineStr">
        <is>
          <t>이동(타겟 P-Box, 0.55 m) — 주행 중 인식 병행</t>
        </is>
      </c>
      <c r="G37" s="5" t="inlineStr">
        <is>
          <t>섀시 + 헤드 카메라</t>
        </is>
      </c>
      <c r="H37" s="3" t="n">
        <v>2</v>
      </c>
      <c r="I37" s="6" t="inlineStr">
        <is>
          <t>실측</t>
        </is>
      </c>
      <c r="J37" s="5" t="inlineStr">
        <is>
          <t>run_item 65사이클 중앙값 (09/03~07 로그)</t>
        </is>
      </c>
    </row>
    <row r="38">
      <c r="A38" s="3" t="n">
        <v>35</v>
      </c>
      <c r="B38" s="4" t="inlineStr">
        <is>
          <t>낱개 단위 출고 (휴머노이드)</t>
        </is>
      </c>
      <c r="C38" s="4" t="inlineStr">
        <is>
          <t>T4 Cell 판독 · 이재 (Target → 타겟 P-Box)</t>
        </is>
      </c>
      <c r="D38" s="4" t="inlineStr">
        <is>
          <t>기본 루프 run_item(battery, 스캔 일치)</t>
        </is>
      </c>
      <c r="E38" s="4" t="inlineStr">
        <is>
          <t>Target Cell 1개당</t>
        </is>
      </c>
      <c r="F38" s="5" t="inlineStr">
        <is>
          <t>Arm Cell 위로 접근</t>
        </is>
      </c>
      <c r="G38" s="5" t="inlineStr">
        <is>
          <t>좌팔</t>
        </is>
      </c>
      <c r="H38" s="3" t="n">
        <v>3</v>
      </c>
      <c r="I38" s="6" t="inlineStr">
        <is>
          <t>실측</t>
        </is>
      </c>
      <c r="J38" s="5" t="inlineStr">
        <is>
          <t>run_item 65사이클 중앙값 (09/03~07 로그)</t>
        </is>
      </c>
    </row>
    <row r="39">
      <c r="A39" s="3" t="n">
        <v>36</v>
      </c>
      <c r="B39" s="4" t="inlineStr">
        <is>
          <t>낱개 단위 출고 (휴머노이드)</t>
        </is>
      </c>
      <c r="C39" s="4" t="inlineStr">
        <is>
          <t>T4 Cell 판독 · 이재 (Target → 타겟 P-Box)</t>
        </is>
      </c>
      <c r="D39" s="4" t="inlineStr">
        <is>
          <t>기본 루프 run_item(battery, 스캔 일치)</t>
        </is>
      </c>
      <c r="E39" s="4" t="inlineStr">
        <is>
          <t>Target Cell 1개당</t>
        </is>
      </c>
      <c r="F39" s="5" t="inlineStr">
        <is>
          <t>Cell 적재 (코너 시트)</t>
        </is>
      </c>
      <c r="G39" s="5" t="inlineStr">
        <is>
          <t>좌팔 흡착</t>
        </is>
      </c>
      <c r="H39" s="3" t="n">
        <v>4</v>
      </c>
      <c r="I39" s="6" t="inlineStr">
        <is>
          <t>실측</t>
        </is>
      </c>
      <c r="J39" s="5" t="inlineStr">
        <is>
          <t>run_item 65사이클 중앙값 (09/03~07 로그)</t>
        </is>
      </c>
    </row>
    <row r="40">
      <c r="A40" s="3" t="n">
        <v>37</v>
      </c>
      <c r="B40" s="4" t="inlineStr">
        <is>
          <t>낱개 단위 출고 (휴머노이드)</t>
        </is>
      </c>
      <c r="C40" s="4" t="inlineStr">
        <is>
          <t>T4 Cell 판독 · 이재 (Target → 타겟 P-Box)</t>
        </is>
      </c>
      <c r="D40" s="4" t="inlineStr">
        <is>
          <t>기본 루프 run_item(battery, 스캔 일치)</t>
        </is>
      </c>
      <c r="E40" s="4" t="inlineStr">
        <is>
          <t>Target Cell 1개당</t>
        </is>
      </c>
      <c r="F40" s="5" t="inlineStr">
        <is>
          <t>Arm 상승</t>
        </is>
      </c>
      <c r="G40" s="5" t="inlineStr">
        <is>
          <t>좌팔</t>
        </is>
      </c>
      <c r="H40" s="3" t="n">
        <v>5</v>
      </c>
      <c r="I40" s="6" t="inlineStr">
        <is>
          <t>실측</t>
        </is>
      </c>
      <c r="J40" s="5" t="inlineStr">
        <is>
          <t>run_item 65사이클 중앙값 (09/03~07 로그)</t>
        </is>
      </c>
    </row>
    <row r="41">
      <c r="A41" s="3" t="n">
        <v>38</v>
      </c>
      <c r="B41" s="4" t="inlineStr">
        <is>
          <t>낱개 단위 출고 (휴머노이드)</t>
        </is>
      </c>
      <c r="C41" s="4" t="inlineStr">
        <is>
          <t>T4 Cell 판독 · 이재 (Target → 타겟 P-Box)</t>
        </is>
      </c>
      <c r="D41" s="4" t="inlineStr">
        <is>
          <t>기본 루프 run_item(battery, 스캔 일치)</t>
        </is>
      </c>
      <c r="E41" s="4" t="inlineStr">
        <is>
          <t>Target Cell 1개당</t>
        </is>
      </c>
      <c r="F41" s="5" t="inlineStr">
        <is>
          <t>이동(소스 포지션 복귀)</t>
        </is>
      </c>
      <c r="G41" s="5" t="inlineStr">
        <is>
          <t>섀시</t>
        </is>
      </c>
      <c r="H41" s="3" t="n">
        <v>3</v>
      </c>
      <c r="I41" s="6" t="inlineStr">
        <is>
          <t>실측</t>
        </is>
      </c>
      <c r="J41" s="5" t="inlineStr">
        <is>
          <t>run_item 65사이클 중앙값 (09/03~07 로그)</t>
        </is>
      </c>
    </row>
    <row r="42">
      <c r="A42" s="3" t="n">
        <v>39</v>
      </c>
      <c r="B42" s="4" t="inlineStr">
        <is>
          <t>낱개 단위 출고 (휴머노이드)</t>
        </is>
      </c>
      <c r="C42" s="4" t="inlineStr">
        <is>
          <t>T5 Cell 판독 · 이재 (비Target → 잔량 P-Box)</t>
        </is>
      </c>
      <c r="D42" s="4" t="inlineStr">
        <is>
          <t>기본 루프 run_item(battery, 스캔 불일치)</t>
        </is>
      </c>
      <c r="E42" s="4" t="inlineStr">
        <is>
          <t>비Target Cell 1개당</t>
        </is>
      </c>
      <c r="F42" s="5" t="inlineStr">
        <is>
          <t>이동(소스 포지션 복귀)</t>
        </is>
      </c>
      <c r="G42" s="5" t="inlineStr">
        <is>
          <t>섀시</t>
        </is>
      </c>
      <c r="H42" s="3" t="n">
        <v>1</v>
      </c>
      <c r="I42" s="6" t="inlineStr">
        <is>
          <t>실측</t>
        </is>
      </c>
      <c r="J42" s="5" t="inlineStr">
        <is>
          <t>run_item 65사이클 중앙값 (09/03~07 로그)</t>
        </is>
      </c>
    </row>
    <row r="43">
      <c r="A43" s="3" t="n">
        <v>40</v>
      </c>
      <c r="B43" s="4" t="inlineStr">
        <is>
          <t>낱개 단위 출고 (휴머노이드)</t>
        </is>
      </c>
      <c r="C43" s="4" t="inlineStr">
        <is>
          <t>T5 Cell 판독 · 이재 (비Target → 잔량 P-Box)</t>
        </is>
      </c>
      <c r="D43" s="4" t="inlineStr">
        <is>
          <t>기본 루프 run_item(battery, 스캔 불일치)</t>
        </is>
      </c>
      <c r="E43" s="4" t="inlineStr">
        <is>
          <t>비Target Cell 1개당</t>
        </is>
      </c>
      <c r="F43" s="5" t="inlineStr">
        <is>
          <t>Arm Cell 위로 접근 (Tray 인식 기준 고정 offset — Cell 개별 인식 없음)</t>
        </is>
      </c>
      <c r="G43" s="5" t="inlineStr">
        <is>
          <t>좌팔</t>
        </is>
      </c>
      <c r="H43" s="3" t="n">
        <v>2</v>
      </c>
      <c r="I43" s="6" t="inlineStr">
        <is>
          <t>실측</t>
        </is>
      </c>
      <c r="J43" s="5" t="inlineStr">
        <is>
          <t>run_item 65사이클 중앙값 (09/03~07 로그)</t>
        </is>
      </c>
    </row>
    <row r="44">
      <c r="A44" s="3" t="n">
        <v>41</v>
      </c>
      <c r="B44" s="4" t="inlineStr">
        <is>
          <t>낱개 단위 출고 (휴머노이드)</t>
        </is>
      </c>
      <c r="C44" s="4" t="inlineStr">
        <is>
          <t>T5 Cell 판독 · 이재 (비Target → 잔량 P-Box)</t>
        </is>
      </c>
      <c r="D44" s="4" t="inlineStr">
        <is>
          <t>기본 루프 run_item(battery, 스캔 불일치)</t>
        </is>
      </c>
      <c r="E44" s="4" t="inlineStr">
        <is>
          <t>비Target Cell 1개당</t>
        </is>
      </c>
      <c r="F44" s="5" t="inlineStr">
        <is>
          <t>Cell 흡착 + 바코드 스캔 + Target 판정 (동시)</t>
        </is>
      </c>
      <c r="G44" s="5" t="inlineStr">
        <is>
          <t>좌팔 흡착 + 스캐너</t>
        </is>
      </c>
      <c r="H44" s="3" t="n">
        <v>4</v>
      </c>
      <c r="I44" s="6" t="inlineStr">
        <is>
          <t>실측</t>
        </is>
      </c>
      <c r="J44" s="5" t="inlineStr">
        <is>
          <t>run_item 65사이클 중앙값 (09/03~07 로그)</t>
        </is>
      </c>
    </row>
    <row r="45">
      <c r="A45" s="3" t="n">
        <v>42</v>
      </c>
      <c r="B45" s="4" t="inlineStr">
        <is>
          <t>낱개 단위 출고 (휴머노이드)</t>
        </is>
      </c>
      <c r="C45" s="4" t="inlineStr">
        <is>
          <t>T5 Cell 판독 · 이재 (비Target → 잔량 P-Box)</t>
        </is>
      </c>
      <c r="D45" s="4" t="inlineStr">
        <is>
          <t>기본 루프 run_item(battery, 스캔 불일치)</t>
        </is>
      </c>
      <c r="E45" s="4" t="inlineStr">
        <is>
          <t>비Target Cell 1개당</t>
        </is>
      </c>
      <c r="F45" s="5" t="inlineStr">
        <is>
          <t>Arm 상승</t>
        </is>
      </c>
      <c r="G45" s="5" t="inlineStr">
        <is>
          <t>좌팔</t>
        </is>
      </c>
      <c r="H45" s="3" t="n">
        <v>1</v>
      </c>
      <c r="I45" s="6" t="inlineStr">
        <is>
          <t>실측</t>
        </is>
      </c>
      <c r="J45" s="5" t="inlineStr">
        <is>
          <t>run_item 65사이클 중앙값 (09/03~07 로그)</t>
        </is>
      </c>
    </row>
    <row r="46">
      <c r="A46" s="3" t="n">
        <v>43</v>
      </c>
      <c r="B46" s="4" t="inlineStr">
        <is>
          <t>낱개 단위 출고 (휴머노이드)</t>
        </is>
      </c>
      <c r="C46" s="4" t="inlineStr">
        <is>
          <t>T5 Cell 판독 · 이재 (비Target → 잔량 P-Box)</t>
        </is>
      </c>
      <c r="D46" s="4" t="inlineStr">
        <is>
          <t>기본 루프 run_item(battery, 스캔 불일치)</t>
        </is>
      </c>
      <c r="E46" s="4" t="inlineStr">
        <is>
          <t>비Target Cell 1개당</t>
        </is>
      </c>
      <c r="F46" s="5" t="inlineStr">
        <is>
          <t>이동(잔량 P-Box, 0.5 m) — 주행 중 인식 병행</t>
        </is>
      </c>
      <c r="G46" s="5" t="inlineStr">
        <is>
          <t>섀시 + 헤드 카메라</t>
        </is>
      </c>
      <c r="H46" s="3" t="n">
        <v>2</v>
      </c>
      <c r="I46" s="6" t="inlineStr">
        <is>
          <t>실측</t>
        </is>
      </c>
      <c r="J46" s="5" t="inlineStr">
        <is>
          <t>run_item 65사이클 중앙값 (09/03~07 로그)</t>
        </is>
      </c>
    </row>
    <row r="47">
      <c r="A47" s="3" t="n">
        <v>44</v>
      </c>
      <c r="B47" s="4" t="inlineStr">
        <is>
          <t>낱개 단위 출고 (휴머노이드)</t>
        </is>
      </c>
      <c r="C47" s="4" t="inlineStr">
        <is>
          <t>T5 Cell 판독 · 이재 (비Target → 잔량 P-Box)</t>
        </is>
      </c>
      <c r="D47" s="4" t="inlineStr">
        <is>
          <t>기본 루프 run_item(battery, 스캔 불일치)</t>
        </is>
      </c>
      <c r="E47" s="4" t="inlineStr">
        <is>
          <t>비Target Cell 1개당</t>
        </is>
      </c>
      <c r="F47" s="5" t="inlineStr">
        <is>
          <t>Arm Cell 위로 접근</t>
        </is>
      </c>
      <c r="G47" s="5" t="inlineStr">
        <is>
          <t>좌팔</t>
        </is>
      </c>
      <c r="H47" s="3" t="n">
        <v>3</v>
      </c>
      <c r="I47" s="6" t="inlineStr">
        <is>
          <t>실측</t>
        </is>
      </c>
      <c r="J47" s="5" t="inlineStr">
        <is>
          <t>run_item 65사이클 중앙값 (09/03~07 로그)</t>
        </is>
      </c>
    </row>
    <row r="48">
      <c r="A48" s="3" t="n">
        <v>45</v>
      </c>
      <c r="B48" s="4" t="inlineStr">
        <is>
          <t>낱개 단위 출고 (휴머노이드)</t>
        </is>
      </c>
      <c r="C48" s="4" t="inlineStr">
        <is>
          <t>T5 Cell 판독 · 이재 (비Target → 잔량 P-Box)</t>
        </is>
      </c>
      <c r="D48" s="4" t="inlineStr">
        <is>
          <t>기본 루프 run_item(battery, 스캔 불일치)</t>
        </is>
      </c>
      <c r="E48" s="4" t="inlineStr">
        <is>
          <t>비Target Cell 1개당</t>
        </is>
      </c>
      <c r="F48" s="5" t="inlineStr">
        <is>
          <t>Cell 적재 (코너 시트)</t>
        </is>
      </c>
      <c r="G48" s="5" t="inlineStr">
        <is>
          <t>좌팔 흡착</t>
        </is>
      </c>
      <c r="H48" s="3" t="n">
        <v>4</v>
      </c>
      <c r="I48" s="6" t="inlineStr">
        <is>
          <t>실측</t>
        </is>
      </c>
      <c r="J48" s="5" t="inlineStr">
        <is>
          <t>run_item 65사이클 중앙값 (09/03~07 로그)</t>
        </is>
      </c>
    </row>
    <row r="49">
      <c r="A49" s="3" t="n">
        <v>46</v>
      </c>
      <c r="B49" s="4" t="inlineStr">
        <is>
          <t>낱개 단위 출고 (휴머노이드)</t>
        </is>
      </c>
      <c r="C49" s="4" t="inlineStr">
        <is>
          <t>T5 Cell 판독 · 이재 (비Target → 잔량 P-Box)</t>
        </is>
      </c>
      <c r="D49" s="4" t="inlineStr">
        <is>
          <t>기본 루프 run_item(battery, 스캔 불일치)</t>
        </is>
      </c>
      <c r="E49" s="4" t="inlineStr">
        <is>
          <t>비Target Cell 1개당</t>
        </is>
      </c>
      <c r="F49" s="5" t="inlineStr">
        <is>
          <t>Arm 상승</t>
        </is>
      </c>
      <c r="G49" s="5" t="inlineStr">
        <is>
          <t>좌팔</t>
        </is>
      </c>
      <c r="H49" s="3" t="n">
        <v>5</v>
      </c>
      <c r="I49" s="6" t="inlineStr">
        <is>
          <t>실측</t>
        </is>
      </c>
      <c r="J49" s="5" t="inlineStr">
        <is>
          <t>run_item 65사이클 중앙값 (09/03~07 로그)</t>
        </is>
      </c>
    </row>
    <row r="50">
      <c r="A50" s="3" t="n">
        <v>47</v>
      </c>
      <c r="B50" s="4" t="inlineStr">
        <is>
          <t>낱개 단위 출고 (휴머노이드)</t>
        </is>
      </c>
      <c r="C50" s="4" t="inlineStr">
        <is>
          <t>T5 Cell 판독 · 이재 (비Target → 잔량 P-Box)</t>
        </is>
      </c>
      <c r="D50" s="4" t="inlineStr">
        <is>
          <t>기본 루프 run_item(battery, 스캔 불일치)</t>
        </is>
      </c>
      <c r="E50" s="4" t="inlineStr">
        <is>
          <t>비Target Cell 1개당</t>
        </is>
      </c>
      <c r="F50" s="5" t="inlineStr">
        <is>
          <t>이동(소스 포지션 복귀)</t>
        </is>
      </c>
      <c r="G50" s="5" t="inlineStr">
        <is>
          <t>섀시</t>
        </is>
      </c>
      <c r="H50" s="3" t="n">
        <v>3</v>
      </c>
      <c r="I50" s="6" t="inlineStr">
        <is>
          <t>실측</t>
        </is>
      </c>
      <c r="J50" s="5" t="inlineStr">
        <is>
          <t>run_item 65사이클 중앙값 (09/03~07 로그)</t>
        </is>
      </c>
    </row>
    <row r="51">
      <c r="A51" s="3" t="n">
        <v>48</v>
      </c>
      <c r="B51" s="4" t="inlineStr">
        <is>
          <t>낱개 단위 출고 (휴머노이드)</t>
        </is>
      </c>
      <c r="C51" s="4" t="inlineStr">
        <is>
          <t>T6 마지막 Tray → bin 박스</t>
        </is>
      </c>
      <c r="D51" s="4" t="inlineStr">
        <is>
          <t>기본 루프 final_to_bin</t>
        </is>
      </c>
      <c r="E51" s="4" t="inlineStr">
        <is>
          <t>소스 Box당 1회</t>
        </is>
      </c>
      <c r="F51" s="5" t="inlineStr">
        <is>
          <t>Arm Tray 위로 접근 (직전 인식 결과 재사용)</t>
        </is>
      </c>
      <c r="G51" s="5" t="inlineStr">
        <is>
          <t>좌팔</t>
        </is>
      </c>
      <c r="H51" s="3" t="n">
        <v>2</v>
      </c>
      <c r="I51" s="6" t="inlineStr">
        <is>
          <t>실측</t>
        </is>
      </c>
      <c r="J51" s="5" t="inlineStr">
        <is>
          <t>09/09 1회 2.1s</t>
        </is>
      </c>
    </row>
    <row r="52">
      <c r="A52" s="3" t="n">
        <v>49</v>
      </c>
      <c r="B52" s="4" t="inlineStr">
        <is>
          <t>낱개 단위 출고 (휴머노이드)</t>
        </is>
      </c>
      <c r="C52" s="4" t="inlineStr">
        <is>
          <t>T6 마지막 Tray → bin 박스</t>
        </is>
      </c>
      <c r="D52" s="4" t="inlineStr">
        <is>
          <t>기본 루프 final_to_bin</t>
        </is>
      </c>
      <c r="E52" s="4" t="inlineStr">
        <is>
          <t>소스 Box당 1회</t>
        </is>
      </c>
      <c r="F52" s="5" t="inlineStr">
        <is>
          <t>Tray 흡착</t>
        </is>
      </c>
      <c r="G52" s="5" t="inlineStr">
        <is>
          <t>좌팔 흡착</t>
        </is>
      </c>
      <c r="H52" s="3" t="n">
        <v>4</v>
      </c>
      <c r="I52" s="6" t="inlineStr">
        <is>
          <t>실측</t>
        </is>
      </c>
      <c r="J52" s="5" t="inlineStr">
        <is>
          <t>09/09 1회 3.5s</t>
        </is>
      </c>
    </row>
    <row r="53">
      <c r="A53" s="3" t="n">
        <v>50</v>
      </c>
      <c r="B53" s="4" t="inlineStr">
        <is>
          <t>낱개 단위 출고 (휴머노이드)</t>
        </is>
      </c>
      <c r="C53" s="4" t="inlineStr">
        <is>
          <t>T6 마지막 Tray → bin 박스</t>
        </is>
      </c>
      <c r="D53" s="4" t="inlineStr">
        <is>
          <t>기본 루프 final_to_bin</t>
        </is>
      </c>
      <c r="E53" s="4" t="inlineStr">
        <is>
          <t>소스 Box당 1회</t>
        </is>
      </c>
      <c r="F53" s="5" t="inlineStr">
        <is>
          <t>Arm 상승</t>
        </is>
      </c>
      <c r="G53" s="5" t="inlineStr">
        <is>
          <t>좌팔</t>
        </is>
      </c>
      <c r="H53" s="3" t="n">
        <v>2</v>
      </c>
      <c r="I53" s="6" t="inlineStr">
        <is>
          <t>실측</t>
        </is>
      </c>
      <c r="J53" s="5" t="inlineStr">
        <is>
          <t>09/09 1회 2.2s</t>
        </is>
      </c>
    </row>
    <row r="54">
      <c r="A54" s="3" t="n">
        <v>51</v>
      </c>
      <c r="B54" s="4" t="inlineStr">
        <is>
          <t>낱개 단위 출고 (휴머노이드)</t>
        </is>
      </c>
      <c r="C54" s="4" t="inlineStr">
        <is>
          <t>T6 마지막 Tray → bin 박스</t>
        </is>
      </c>
      <c r="D54" s="4" t="inlineStr">
        <is>
          <t>기본 루프 final_to_bin</t>
        </is>
      </c>
      <c r="E54" s="4" t="inlineStr">
        <is>
          <t>소스 Box당 1회</t>
        </is>
      </c>
      <c r="F54" s="5" t="inlineStr">
        <is>
          <t>이동(bin 박스, 1.2 m) + 보정</t>
        </is>
      </c>
      <c r="G54" s="5" t="inlineStr">
        <is>
          <t>섀시</t>
        </is>
      </c>
      <c r="H54" s="3" t="n">
        <v>6</v>
      </c>
      <c r="I54" s="6" t="inlineStr">
        <is>
          <t>실측</t>
        </is>
      </c>
      <c r="J54" s="5" t="inlineStr">
        <is>
          <t>09/09 1회 4.2 + 1.6s</t>
        </is>
      </c>
    </row>
    <row r="55">
      <c r="A55" s="3" t="n">
        <v>52</v>
      </c>
      <c r="B55" s="4" t="inlineStr">
        <is>
          <t>낱개 단위 출고 (휴머노이드)</t>
        </is>
      </c>
      <c r="C55" s="4" t="inlineStr">
        <is>
          <t>T6 마지막 Tray → bin 박스</t>
        </is>
      </c>
      <c r="D55" s="4" t="inlineStr">
        <is>
          <t>기본 루프 final_to_bin</t>
        </is>
      </c>
      <c r="E55" s="4" t="inlineStr">
        <is>
          <t>소스 Box당 1회</t>
        </is>
      </c>
      <c r="F55" s="5" t="inlineStr">
        <is>
          <t>bin 박스 인식 (빈 박스 BEV) + Arm 접근</t>
        </is>
      </c>
      <c r="G55" s="5" t="inlineStr">
        <is>
          <t>헤드 카메라 + 좌팔</t>
        </is>
      </c>
      <c r="H55" s="3" t="n">
        <v>3</v>
      </c>
      <c r="I55" s="6" t="inlineStr">
        <is>
          <t>실측</t>
        </is>
      </c>
      <c r="J55" s="5" t="inlineStr">
        <is>
          <t>09/09 1회 3.4s</t>
        </is>
      </c>
    </row>
    <row r="56">
      <c r="A56" s="3" t="n">
        <v>53</v>
      </c>
      <c r="B56" s="4" t="inlineStr">
        <is>
          <t>낱개 단위 출고 (휴머노이드)</t>
        </is>
      </c>
      <c r="C56" s="4" t="inlineStr">
        <is>
          <t>T6 마지막 Tray → bin 박스</t>
        </is>
      </c>
      <c r="D56" s="4" t="inlineStr">
        <is>
          <t>기본 루프 final_to_bin</t>
        </is>
      </c>
      <c r="E56" s="4" t="inlineStr">
        <is>
          <t>소스 Box당 1회</t>
        </is>
      </c>
      <c r="F56" s="5" t="inlineStr">
        <is>
          <t>Tray 내림</t>
        </is>
      </c>
      <c r="G56" s="5" t="inlineStr">
        <is>
          <t>좌팔 흡착</t>
        </is>
      </c>
      <c r="H56" s="3" t="n">
        <v>1</v>
      </c>
      <c r="I56" s="6" t="inlineStr">
        <is>
          <t>실측</t>
        </is>
      </c>
      <c r="J56" s="5" t="inlineStr">
        <is>
          <t>09/09 1회 1.2s</t>
        </is>
      </c>
    </row>
    <row r="57">
      <c r="A57" s="3" t="n">
        <v>54</v>
      </c>
      <c r="B57" s="4" t="inlineStr">
        <is>
          <t>낱개 단위 출고 (휴머노이드)</t>
        </is>
      </c>
      <c r="C57" s="4" t="inlineStr">
        <is>
          <t>T6 마지막 Tray → bin 박스</t>
        </is>
      </c>
      <c r="D57" s="4" t="inlineStr">
        <is>
          <t>기본 루프 final_to_bin</t>
        </is>
      </c>
      <c r="E57" s="4" t="inlineStr">
        <is>
          <t>소스 Box당 1회</t>
        </is>
      </c>
      <c r="F57" s="5" t="inlineStr">
        <is>
          <t>Arm 상승</t>
        </is>
      </c>
      <c r="G57" s="5" t="inlineStr">
        <is>
          <t>좌팔</t>
        </is>
      </c>
      <c r="H57" s="3" t="n">
        <v>5</v>
      </c>
      <c r="I57" s="6" t="inlineStr">
        <is>
          <t>실측</t>
        </is>
      </c>
      <c r="J57" s="5" t="inlineStr">
        <is>
          <t>09/09 1회 4.7s</t>
        </is>
      </c>
    </row>
    <row r="58">
      <c r="A58" s="3" t="n">
        <v>55</v>
      </c>
      <c r="B58" s="4" t="inlineStr">
        <is>
          <t>낱개 단위 출고 (휴머노이드)</t>
        </is>
      </c>
      <c r="C58" s="4" t="inlineStr">
        <is>
          <t>T6 마지막 Tray → bin 박스</t>
        </is>
      </c>
      <c r="D58" s="4" t="inlineStr">
        <is>
          <t>기본 루프 final_to_bin</t>
        </is>
      </c>
      <c r="E58" s="4" t="inlineStr">
        <is>
          <t>소스 Box당 1회</t>
        </is>
      </c>
      <c r="F58" s="5" t="inlineStr">
        <is>
          <t>이동(소스 포지션 복귀, 1.2 m)</t>
        </is>
      </c>
      <c r="G58" s="5" t="inlineStr">
        <is>
          <t>섀시</t>
        </is>
      </c>
      <c r="H58" s="3" t="n">
        <v>4</v>
      </c>
      <c r="I58" s="6" t="inlineStr">
        <is>
          <t>실측</t>
        </is>
      </c>
      <c r="J58" s="5" t="inlineStr">
        <is>
          <t>09/09 1회 4.2s</t>
        </is>
      </c>
    </row>
    <row r="59">
      <c r="A59" s="3" t="n">
        <v>56</v>
      </c>
      <c r="B59" s="4" t="inlineStr">
        <is>
          <t>낱개 단위 출고 (휴머노이드)</t>
        </is>
      </c>
      <c r="C59" s="4" t="inlineStr">
        <is>
          <t>T7 빈 소스 Box 폐기</t>
        </is>
      </c>
      <c r="D59" s="4" t="inlineStr">
        <is>
          <t>--box</t>
        </is>
      </c>
      <c r="E59" s="4" t="inlineStr">
        <is>
          <t>소스 Box당 1회</t>
        </is>
      </c>
      <c r="F59" s="5" t="inlineStr">
        <is>
          <t>양팔 home + Box 인식 (BEV, 테두리 기준)</t>
        </is>
      </c>
      <c r="G59" s="5" t="inlineStr">
        <is>
          <t>헤드 카메라</t>
        </is>
      </c>
      <c r="H59" s="3" t="n">
        <v>5</v>
      </c>
      <c r="I59" s="6" t="inlineStr">
        <is>
          <t>실측</t>
        </is>
      </c>
      <c r="J59" s="5" t="inlineStr">
        <is>
          <t>--box 1회 (09/09 17:04) 5.1s</t>
        </is>
      </c>
    </row>
    <row r="60">
      <c r="A60" s="3" t="n">
        <v>57</v>
      </c>
      <c r="B60" s="4" t="inlineStr">
        <is>
          <t>낱개 단위 출고 (휴머노이드)</t>
        </is>
      </c>
      <c r="C60" s="4" t="inlineStr">
        <is>
          <t>T7 빈 소스 Box 폐기</t>
        </is>
      </c>
      <c r="D60" s="4" t="inlineStr">
        <is>
          <t>--box</t>
        </is>
      </c>
      <c r="E60" s="4" t="inlineStr">
        <is>
          <t>소스 Box당 1회</t>
        </is>
      </c>
      <c r="F60" s="5" t="inlineStr">
        <is>
          <t>Arm Box 벽 위 hover 이동</t>
        </is>
      </c>
      <c r="G60" s="5" t="inlineStr">
        <is>
          <t>우팔</t>
        </is>
      </c>
      <c r="H60" s="3" t="n">
        <v>9</v>
      </c>
      <c r="I60" s="6" t="inlineStr">
        <is>
          <t>실측</t>
        </is>
      </c>
      <c r="J60" s="5" t="inlineStr">
        <is>
          <t>--box 1회 (09/09 17:04) 8.6s (관절 이동 7.6s)</t>
        </is>
      </c>
    </row>
    <row r="61">
      <c r="A61" s="3" t="n">
        <v>58</v>
      </c>
      <c r="B61" s="4" t="inlineStr">
        <is>
          <t>낱개 단위 출고 (휴머노이드)</t>
        </is>
      </c>
      <c r="C61" s="4" t="inlineStr">
        <is>
          <t>T7 빈 소스 Box 폐기</t>
        </is>
      </c>
      <c r="D61" s="4" t="inlineStr">
        <is>
          <t>--box</t>
        </is>
      </c>
      <c r="E61" s="4" t="inlineStr">
        <is>
          <t>소스 Box당 1회</t>
        </is>
      </c>
      <c r="F61" s="5" t="inlineStr">
        <is>
          <t>하강 + 그리퍼 파지 (벽 측면)</t>
        </is>
      </c>
      <c r="G61" s="5" t="inlineStr">
        <is>
          <t>우팔 그리퍼</t>
        </is>
      </c>
      <c r="H61" s="3" t="n">
        <v>2</v>
      </c>
      <c r="I61" s="6" t="inlineStr">
        <is>
          <t>실측</t>
        </is>
      </c>
      <c r="J61" s="5" t="inlineStr">
        <is>
          <t>--box 1회 (09/09 17:04) 1.7s</t>
        </is>
      </c>
    </row>
    <row r="62">
      <c r="A62" s="3" t="n">
        <v>59</v>
      </c>
      <c r="B62" s="4" t="inlineStr">
        <is>
          <t>낱개 단위 출고 (휴머노이드)</t>
        </is>
      </c>
      <c r="C62" s="4" t="inlineStr">
        <is>
          <t>T7 빈 소스 Box 폐기</t>
        </is>
      </c>
      <c r="D62" s="4" t="inlineStr">
        <is>
          <t>--box</t>
        </is>
      </c>
      <c r="E62" s="4" t="inlineStr">
        <is>
          <t>소스 Box당 1회</t>
        </is>
      </c>
      <c r="F62" s="5" t="inlineStr">
        <is>
          <t>Arm 상승</t>
        </is>
      </c>
      <c r="G62" s="5" t="inlineStr">
        <is>
          <t>우팔</t>
        </is>
      </c>
      <c r="H62" s="3" t="n">
        <v>1</v>
      </c>
      <c r="I62" s="6" t="inlineStr">
        <is>
          <t>실측</t>
        </is>
      </c>
      <c r="J62" s="5" t="inlineStr">
        <is>
          <t>--box 1회 (09/09 17:04) 1.2s</t>
        </is>
      </c>
    </row>
    <row r="63">
      <c r="A63" s="3" t="n">
        <v>60</v>
      </c>
      <c r="B63" s="4" t="inlineStr">
        <is>
          <t>낱개 단위 출고 (휴머노이드)</t>
        </is>
      </c>
      <c r="C63" s="4" t="inlineStr">
        <is>
          <t>T7 빈 소스 Box 폐기</t>
        </is>
      </c>
      <c r="D63" s="4" t="inlineStr">
        <is>
          <t>--box</t>
        </is>
      </c>
      <c r="E63" s="4" t="inlineStr">
        <is>
          <t>소스 Box당 1회</t>
        </is>
      </c>
      <c r="F63" s="5" t="inlineStr">
        <is>
          <t>이동(폐기 포지션)</t>
        </is>
      </c>
      <c r="G63" s="5" t="inlineStr">
        <is>
          <t>섀시</t>
        </is>
      </c>
      <c r="H63" s="3" t="n">
        <v>7</v>
      </c>
      <c r="I63" s="8" t="inlineStr">
        <is>
          <t>추정</t>
        </is>
      </c>
      <c r="J63" s="5" t="inlineStr">
        <is>
          <t>뚜껑 폐기 이동과 동일 가정</t>
        </is>
      </c>
    </row>
    <row r="64">
      <c r="A64" s="3" t="n">
        <v>61</v>
      </c>
      <c r="B64" s="4" t="inlineStr">
        <is>
          <t>낱개 단위 출고 (휴머노이드)</t>
        </is>
      </c>
      <c r="C64" s="4" t="inlineStr">
        <is>
          <t>T7 빈 소스 Box 폐기</t>
        </is>
      </c>
      <c r="D64" s="4" t="inlineStr">
        <is>
          <t>--box</t>
        </is>
      </c>
      <c r="E64" s="4" t="inlineStr">
        <is>
          <t>소스 Box당 1회</t>
        </is>
      </c>
      <c r="F64" s="5" t="inlineStr">
        <is>
          <t>Box 드롭 (하강 + 그리퍼 개방)</t>
        </is>
      </c>
      <c r="G64" s="5" t="inlineStr">
        <is>
          <t>우팔 그리퍼</t>
        </is>
      </c>
      <c r="H64" s="3" t="n">
        <v>4</v>
      </c>
      <c r="I64" s="8" t="inlineStr">
        <is>
          <t>지정값</t>
        </is>
      </c>
      <c r="J64" s="5" t="inlineStr">
        <is>
          <t>`q`로 중단, 미실측 — 협의 지정값</t>
        </is>
      </c>
    </row>
    <row r="65">
      <c r="A65" s="3" t="n">
        <v>62</v>
      </c>
      <c r="B65" s="4" t="inlineStr">
        <is>
          <t>낱개 단위 출고 (휴머노이드)</t>
        </is>
      </c>
      <c r="C65" s="4" t="inlineStr">
        <is>
          <t>T7 빈 소스 Box 폐기</t>
        </is>
      </c>
      <c r="D65" s="4" t="inlineStr">
        <is>
          <t>--box</t>
        </is>
      </c>
      <c r="E65" s="4" t="inlineStr">
        <is>
          <t>소스 Box당 1회</t>
        </is>
      </c>
      <c r="F65" s="5" t="inlineStr">
        <is>
          <t>이동(소스 포지션 복귀)</t>
        </is>
      </c>
      <c r="G65" s="5" t="inlineStr">
        <is>
          <t>섀시</t>
        </is>
      </c>
      <c r="H65" s="3" t="n">
        <v>7</v>
      </c>
      <c r="I65" s="8" t="inlineStr">
        <is>
          <t>추정</t>
        </is>
      </c>
      <c r="J65" s="5" t="inlineStr">
        <is>
          <t>뚜껑 폐기 이동과 동일 가정</t>
        </is>
      </c>
    </row>
    <row r="66">
      <c r="A66" s="3" t="n">
        <v>63</v>
      </c>
      <c r="B66" s="4" t="inlineStr">
        <is>
          <t>낱개 단위 출고 (휴머노이드)</t>
        </is>
      </c>
      <c r="C66" s="4" t="inlineStr">
        <is>
          <t>T8 P-Box 뚜껑 재결합</t>
        </is>
      </c>
      <c r="D66" s="4" t="inlineStr">
        <is>
          <t>(미구현)</t>
        </is>
      </c>
      <c r="E66" s="4" t="inlineStr">
        <is>
          <t>P-Box당 1회</t>
        </is>
      </c>
      <c r="F66" s="5" t="inlineStr">
        <is>
          <t>이동(뚜껑 보관 위치) — 주행 중 torso 기울임 병행</t>
        </is>
      </c>
      <c r="G66" s="5" t="inlineStr">
        <is>
          <t>섀시 + torso</t>
        </is>
      </c>
      <c r="H66" s="3" t="n">
        <v>7</v>
      </c>
      <c r="I66" s="8" t="inlineStr">
        <is>
          <t>추정</t>
        </is>
      </c>
      <c r="J66" s="5" t="inlineStr">
        <is>
          <t>--lid 역순 추정. 바닥 픽은 기울인 자세 필요</t>
        </is>
      </c>
    </row>
    <row r="67">
      <c r="A67" s="3" t="n">
        <v>64</v>
      </c>
      <c r="B67" s="4" t="inlineStr">
        <is>
          <t>낱개 단위 출고 (휴머노이드)</t>
        </is>
      </c>
      <c r="C67" s="4" t="inlineStr">
        <is>
          <t>T8 P-Box 뚜껑 재결합</t>
        </is>
      </c>
      <c r="D67" s="4" t="inlineStr">
        <is>
          <t>(미구현)</t>
        </is>
      </c>
      <c r="E67" s="4" t="inlineStr">
        <is>
          <t>P-Box당 1회</t>
        </is>
      </c>
      <c r="F67" s="5" t="inlineStr">
        <is>
          <t>P-Box 뚜껑 인식 (바닥, BEV + 깊이 보정)</t>
        </is>
      </c>
      <c r="G67" s="5" t="inlineStr">
        <is>
          <t>헤드 카메라</t>
        </is>
      </c>
      <c r="H67" s="3" t="n">
        <v>1</v>
      </c>
      <c r="I67" s="8" t="inlineStr">
        <is>
          <t>추정</t>
        </is>
      </c>
      <c r="J67" s="5" t="inlineStr">
        <is>
          <t>--lid 바닥 인식 실측값 차용</t>
        </is>
      </c>
    </row>
    <row r="68">
      <c r="A68" s="3" t="n">
        <v>65</v>
      </c>
      <c r="B68" s="4" t="inlineStr">
        <is>
          <t>낱개 단위 출고 (휴머노이드)</t>
        </is>
      </c>
      <c r="C68" s="4" t="inlineStr">
        <is>
          <t>T8 P-Box 뚜껑 재결합</t>
        </is>
      </c>
      <c r="D68" s="4" t="inlineStr">
        <is>
          <t>(미구현)</t>
        </is>
      </c>
      <c r="E68" s="4" t="inlineStr">
        <is>
          <t>P-Box당 1회</t>
        </is>
      </c>
      <c r="F68" s="5" t="inlineStr">
        <is>
          <t>Arm 뚜껑 위로 접근</t>
        </is>
      </c>
      <c r="G68" s="5" t="inlineStr">
        <is>
          <t>좌팔</t>
        </is>
      </c>
      <c r="H68" s="3" t="n">
        <v>2</v>
      </c>
      <c r="I68" s="8" t="inlineStr">
        <is>
          <t>추정</t>
        </is>
      </c>
      <c r="J68" s="5" t="inlineStr">
        <is>
          <t>--lid 역순 추정</t>
        </is>
      </c>
    </row>
    <row r="69">
      <c r="A69" s="3" t="n">
        <v>66</v>
      </c>
      <c r="B69" s="4" t="inlineStr">
        <is>
          <t>낱개 단위 출고 (휴머노이드)</t>
        </is>
      </c>
      <c r="C69" s="4" t="inlineStr">
        <is>
          <t>T8 P-Box 뚜껑 재결합</t>
        </is>
      </c>
      <c r="D69" s="4" t="inlineStr">
        <is>
          <t>(미구현)</t>
        </is>
      </c>
      <c r="E69" s="4" t="inlineStr">
        <is>
          <t>P-Box당 1회</t>
        </is>
      </c>
      <c r="F69" s="5" t="inlineStr">
        <is>
          <t>뚜껑 흡착</t>
        </is>
      </c>
      <c r="G69" s="5" t="inlineStr">
        <is>
          <t>좌팔 흡착</t>
        </is>
      </c>
      <c r="H69" s="3" t="n">
        <v>3</v>
      </c>
      <c r="I69" s="8" t="inlineStr">
        <is>
          <t>추정</t>
        </is>
      </c>
      <c r="J69" s="5" t="inlineStr">
        <is>
          <t>--lid 역순 추정</t>
        </is>
      </c>
    </row>
    <row r="70">
      <c r="A70" s="3" t="n">
        <v>67</v>
      </c>
      <c r="B70" s="4" t="inlineStr">
        <is>
          <t>낱개 단위 출고 (휴머노이드)</t>
        </is>
      </c>
      <c r="C70" s="4" t="inlineStr">
        <is>
          <t>T8 P-Box 뚜껑 재결합</t>
        </is>
      </c>
      <c r="D70" s="4" t="inlineStr">
        <is>
          <t>(미구현)</t>
        </is>
      </c>
      <c r="E70" s="4" t="inlineStr">
        <is>
          <t>P-Box당 1회</t>
        </is>
      </c>
      <c r="F70" s="5" t="inlineStr">
        <is>
          <t>Arm 상승</t>
        </is>
      </c>
      <c r="G70" s="5" t="inlineStr">
        <is>
          <t>좌팔</t>
        </is>
      </c>
      <c r="H70" s="3" t="n">
        <v>1</v>
      </c>
      <c r="I70" s="8" t="inlineStr">
        <is>
          <t>추정</t>
        </is>
      </c>
      <c r="J70" s="5" t="inlineStr">
        <is>
          <t>--lid 역순 추정</t>
        </is>
      </c>
    </row>
    <row r="71">
      <c r="A71" s="3" t="n">
        <v>68</v>
      </c>
      <c r="B71" s="4" t="inlineStr">
        <is>
          <t>낱개 단위 출고 (휴머노이드)</t>
        </is>
      </c>
      <c r="C71" s="4" t="inlineStr">
        <is>
          <t>T8 P-Box 뚜껑 재결합</t>
        </is>
      </c>
      <c r="D71" s="4" t="inlineStr">
        <is>
          <t>(미구현)</t>
        </is>
      </c>
      <c r="E71" s="4" t="inlineStr">
        <is>
          <t>P-Box당 1회</t>
        </is>
      </c>
      <c r="F71" s="5" t="inlineStr">
        <is>
          <t>이동(P-Box 포지션) — 주행 중 torso 복귀 병행</t>
        </is>
      </c>
      <c r="G71" s="5" t="inlineStr">
        <is>
          <t>섀시 + torso</t>
        </is>
      </c>
      <c r="H71" s="3" t="n">
        <v>5</v>
      </c>
      <c r="I71" s="8" t="inlineStr">
        <is>
          <t>추정</t>
        </is>
      </c>
      <c r="J71" s="5" t="inlineStr">
        <is>
          <t>--lid 역순 추정</t>
        </is>
      </c>
    </row>
    <row r="72">
      <c r="A72" s="3" t="n">
        <v>69</v>
      </c>
      <c r="B72" s="4" t="inlineStr">
        <is>
          <t>낱개 단위 출고 (휴머노이드)</t>
        </is>
      </c>
      <c r="C72" s="4" t="inlineStr">
        <is>
          <t>T8 P-Box 뚜껑 재결합</t>
        </is>
      </c>
      <c r="D72" s="4" t="inlineStr">
        <is>
          <t>(미구현)</t>
        </is>
      </c>
      <c r="E72" s="4" t="inlineStr">
        <is>
          <t>P-Box당 1회</t>
        </is>
      </c>
      <c r="F72" s="5" t="inlineStr">
        <is>
          <t>P-Box 인식 + 뚜껑 테두리 정렬</t>
        </is>
      </c>
      <c r="G72" s="5" t="inlineStr">
        <is>
          <t>헤드 카메라 + 섀시</t>
        </is>
      </c>
      <c r="H72" s="3" t="n">
        <v>8</v>
      </c>
      <c r="I72" s="8" t="inlineStr">
        <is>
          <t>추정</t>
        </is>
      </c>
      <c r="J72" s="5" t="inlineStr">
        <is>
          <t>정렬 로직 없음 — --lid 보관 위치 정렬값 차용</t>
        </is>
      </c>
    </row>
    <row r="73">
      <c r="A73" s="3" t="n">
        <v>70</v>
      </c>
      <c r="B73" s="4" t="inlineStr">
        <is>
          <t>낱개 단위 출고 (휴머노이드)</t>
        </is>
      </c>
      <c r="C73" s="4" t="inlineStr">
        <is>
          <t>T8 P-Box 뚜껑 재결합</t>
        </is>
      </c>
      <c r="D73" s="4" t="inlineStr">
        <is>
          <t>(미구현)</t>
        </is>
      </c>
      <c r="E73" s="4" t="inlineStr">
        <is>
          <t>P-Box당 1회</t>
        </is>
      </c>
      <c r="F73" s="5" t="inlineStr">
        <is>
          <t>Arm 하강 · 릴리즈 · 상승</t>
        </is>
      </c>
      <c r="G73" s="5" t="inlineStr">
        <is>
          <t>좌팔 흡착</t>
        </is>
      </c>
      <c r="H73" s="3" t="n">
        <v>7</v>
      </c>
      <c r="I73" s="8" t="inlineStr">
        <is>
          <t>추정</t>
        </is>
      </c>
      <c r="J73" s="5" t="inlineStr">
        <is>
          <t>--lid 플레이스 실측값 차용</t>
        </is>
      </c>
    </row>
    <row r="74">
      <c r="A74" s="3" t="n">
        <v>71</v>
      </c>
      <c r="B74" s="4" t="inlineStr">
        <is>
          <t>낱개 단위 출고 (휴머노이드)</t>
        </is>
      </c>
      <c r="C74" s="4" t="inlineStr">
        <is>
          <t>T9 Tool 교체</t>
        </is>
      </c>
      <c r="D74" s="4" t="inlineStr">
        <is>
          <t>(미구현)</t>
        </is>
      </c>
      <c r="E74" s="4" t="inlineStr">
        <is>
          <t>필요 시</t>
        </is>
      </c>
      <c r="F74" s="5" t="inlineStr">
        <is>
          <t>Tool 교체 전체 (인식 · 탈거 · 착용 · 이동)</t>
        </is>
      </c>
      <c r="G74" s="5" t="inlineStr">
        <is>
          <t>—</t>
        </is>
      </c>
      <c r="H74" s="3" t="inlineStr">
        <is>
          <t>산정중</t>
        </is>
      </c>
      <c r="I74" s="9" t="inlineStr">
        <is>
          <t>미구현</t>
        </is>
      </c>
      <c r="J74" s="5" t="inlineStr">
        <is>
          <t>chassis_sequence에 기능 없음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30" customWidth="1" min="3" max="3"/>
    <col width="12" customWidth="1" min="4" max="4"/>
    <col width="70" customWidth="1" min="5" max="5"/>
  </cols>
  <sheetData>
    <row r="1">
      <c r="A1" s="1" t="inlineStr">
        <is>
          <t>태스크별 1회 소요시간 및 시나리오 합계</t>
        </is>
      </c>
    </row>
    <row r="3">
      <c r="A3" s="2" t="inlineStr">
        <is>
          <t>Lv2 태스크</t>
        </is>
      </c>
      <c r="B3" s="2" t="inlineStr">
        <is>
          <t>실행 모드</t>
        </is>
      </c>
      <c r="C3" s="2" t="inlineStr">
        <is>
          <t>반복 단위</t>
        </is>
      </c>
      <c r="D3" s="2" t="inlineStr">
        <is>
          <t>1회 소요(s)</t>
        </is>
      </c>
      <c r="E3" s="2" t="inlineStr">
        <is>
          <t>근거 요약</t>
        </is>
      </c>
    </row>
    <row r="4">
      <c r="A4" s="5" t="inlineStr">
        <is>
          <t>T0 로봇 기동 · 초기화</t>
        </is>
      </c>
      <c r="B4" s="5" t="inlineStr">
        <is>
          <t>세션 시작</t>
        </is>
      </c>
      <c r="C4" s="5" t="inlineStr">
        <is>
          <t>세션당 1회</t>
        </is>
      </c>
      <c r="D4" s="3">
        <f>SUMIF(Flow!$C$4:$C$74,A4,Flow!$H$4:$H$74)</f>
        <v/>
      </c>
      <c r="E4" s="5" t="inlineStr">
        <is>
          <t>실측 1회. 모델 캐시 적용 시 약 18s</t>
        </is>
      </c>
    </row>
    <row r="5">
      <c r="A5" s="5" t="inlineStr">
        <is>
          <t>T1 소스 Box 뚜껑 폐기</t>
        </is>
      </c>
      <c r="B5" s="5" t="inlineStr">
        <is>
          <t>--box-lid</t>
        </is>
      </c>
      <c r="C5" s="5" t="inlineStr">
        <is>
          <t>소스 Box당 1회</t>
        </is>
      </c>
      <c r="D5" s="3">
        <f>SUMIF(Flow!$C$4:$C$74,A5,Flow!$H$4:$H$74)</f>
        <v/>
      </c>
      <c r="E5" s="5" t="inlineStr">
        <is>
          <t>픽·핸드오프 실측 6회, 드롭 지정값 4s, 이동 상한값</t>
        </is>
      </c>
    </row>
    <row r="6">
      <c r="A6" s="5" t="inlineStr">
        <is>
          <t>T2 P-Box 뚜껑 개방 · 보관</t>
        </is>
      </c>
      <c r="B6" s="5" t="inlineStr">
        <is>
          <t>--lid</t>
        </is>
      </c>
      <c r="C6" s="5" t="inlineStr">
        <is>
          <t>P-Box당 1회 (Target / Tray / 잔량 = 3회)</t>
        </is>
      </c>
      <c r="D6" s="3">
        <f>SUMIF(Flow!$C$4:$C$74,A6,Flow!$H$4:$H$74)</f>
        <v/>
      </c>
      <c r="E6" s="5" t="inlineStr">
        <is>
          <t>실측 1회, 이동 상한값. torso 기울임/복귀는 주행 병행 전제</t>
        </is>
      </c>
    </row>
    <row r="7">
      <c r="A7" s="5" t="inlineStr">
        <is>
          <t>T3 Tray 이재 (소스 → 타겟 P-Box)</t>
        </is>
      </c>
      <c r="B7" s="5" t="inlineStr">
        <is>
          <t>기본 루프 run_item(case)</t>
        </is>
      </c>
      <c r="C7" s="5" t="inlineStr">
        <is>
          <t>층당 1회</t>
        </is>
      </c>
      <c r="D7" s="3">
        <f>SUMIF(Flow!$C$4:$C$74,A7,Flow!$H$4:$H$74)</f>
        <v/>
      </c>
      <c r="E7" s="5" t="inlineStr">
        <is>
          <t>65사이클 중앙값</t>
        </is>
      </c>
    </row>
    <row r="8">
      <c r="A8" s="5" t="inlineStr">
        <is>
          <t>T4 Cell 판독 · 이재 (Target → 타겟 P-Box)</t>
        </is>
      </c>
      <c r="B8" s="5" t="inlineStr">
        <is>
          <t>기본 루프 run_item(battery, 스캔 일치)</t>
        </is>
      </c>
      <c r="C8" s="5" t="inlineStr">
        <is>
          <t>Target Cell 1개당</t>
        </is>
      </c>
      <c r="D8" s="3">
        <f>SUMIF(Flow!$C$4:$C$74,A8,Flow!$H$4:$H$74)</f>
        <v/>
      </c>
      <c r="E8" s="5" t="inlineStr">
        <is>
          <t>65사이클 중앙값 (Cell 1개당)</t>
        </is>
      </c>
    </row>
    <row r="9">
      <c r="A9" s="5" t="inlineStr">
        <is>
          <t>T5 Cell 판독 · 이재 (비Target → 잔량 P-Box)</t>
        </is>
      </c>
      <c r="B9" s="5" t="inlineStr">
        <is>
          <t>기본 루프 run_item(battery, 스캔 불일치)</t>
        </is>
      </c>
      <c r="C9" s="5" t="inlineStr">
        <is>
          <t>비Target Cell 1개당</t>
        </is>
      </c>
      <c r="D9" s="3">
        <f>SUMIF(Flow!$C$4:$C$74,A9,Flow!$H$4:$H$74)</f>
        <v/>
      </c>
      <c r="E9" s="5" t="inlineStr">
        <is>
          <t>65사이클 중앙값 (Cell 1개당)</t>
        </is>
      </c>
    </row>
    <row r="10">
      <c r="A10" s="5" t="inlineStr">
        <is>
          <t>T6 마지막 Tray → bin 박스</t>
        </is>
      </c>
      <c r="B10" s="5" t="inlineStr">
        <is>
          <t>기본 루프 final_to_bin</t>
        </is>
      </c>
      <c r="C10" s="5" t="inlineStr">
        <is>
          <t>소스 Box당 1회</t>
        </is>
      </c>
      <c r="D10" s="3">
        <f>SUMIF(Flow!$C$4:$C$74,A10,Flow!$H$4:$H$74)</f>
        <v/>
      </c>
      <c r="E10" s="5" t="inlineStr">
        <is>
          <t>실측 1회</t>
        </is>
      </c>
    </row>
    <row r="11">
      <c r="A11" s="5" t="inlineStr">
        <is>
          <t>T7 빈 소스 Box 폐기</t>
        </is>
      </c>
      <c r="B11" s="5" t="inlineStr">
        <is>
          <t>--box</t>
        </is>
      </c>
      <c r="C11" s="5" t="inlineStr">
        <is>
          <t>소스 Box당 1회</t>
        </is>
      </c>
      <c r="D11" s="3">
        <f>SUMIF(Flow!$C$4:$C$74,A11,Flow!$H$4:$H$74)</f>
        <v/>
      </c>
      <c r="E11" s="5" t="inlineStr">
        <is>
          <t>픽 실측 1회, 드롭 지정값 4s, 이동은 뚜껑과 동일 가정</t>
        </is>
      </c>
    </row>
    <row r="12">
      <c r="A12" s="5" t="inlineStr">
        <is>
          <t>T8 P-Box 뚜껑 재결합</t>
        </is>
      </c>
      <c r="B12" s="5" t="inlineStr">
        <is>
          <t>(미구현)</t>
        </is>
      </c>
      <c r="C12" s="5" t="inlineStr">
        <is>
          <t>P-Box당 1회</t>
        </is>
      </c>
      <c r="D12" s="3">
        <f>SUMIF(Flow!$C$4:$C$74,A12,Flow!$H$4:$H$74)</f>
        <v/>
      </c>
      <c r="E12" s="5" t="inlineStr">
        <is>
          <t>미구현 — --lid 역순 추정</t>
        </is>
      </c>
    </row>
    <row r="13">
      <c r="A13" s="5" t="inlineStr">
        <is>
          <t>T9 Tool 교체</t>
        </is>
      </c>
      <c r="B13" s="5" t="inlineStr">
        <is>
          <t>(미구현)</t>
        </is>
      </c>
      <c r="C13" s="5" t="inlineStr">
        <is>
          <t>필요 시</t>
        </is>
      </c>
      <c r="D13" s="3">
        <f>SUMIF(Flow!$C$4:$C$74,A13,Flow!$H$4:$H$74)</f>
        <v/>
      </c>
      <c r="E13" s="5" t="inlineStr">
        <is>
          <t>미구현</t>
        </is>
      </c>
    </row>
    <row r="15">
      <c r="A15" s="10" t="inlineStr">
        <is>
          <t>시나리오 파라미터</t>
        </is>
      </c>
    </row>
    <row r="16">
      <c r="A16" s="11" t="inlineStr">
        <is>
          <t>소스 Box 1개의 층 수 L (Tray 1 + Cell 2 / 층)</t>
        </is>
      </c>
      <c r="D16" s="12" t="n">
        <v>2</v>
      </c>
    </row>
    <row r="17">
      <c r="A17" s="11" t="inlineStr">
        <is>
          <t>그중 Target Cell 수 k</t>
        </is>
      </c>
      <c r="D17" s="12" t="n">
        <v>1</v>
      </c>
    </row>
    <row r="18">
      <c r="A18" s="11" t="inlineStr">
        <is>
          <t>P-Box 수 (Target / Tray / 잔량)</t>
        </is>
      </c>
      <c r="D18" s="12" t="n">
        <v>3</v>
      </c>
    </row>
    <row r="20">
      <c r="A20" s="10" t="inlineStr">
        <is>
          <t>시나리오 합계</t>
        </is>
      </c>
    </row>
    <row r="21">
      <c r="A21" s="11" t="inlineStr">
        <is>
          <t>세션 기동 (1회)</t>
        </is>
      </c>
      <c r="D21" s="13">
        <f>D4</f>
        <v/>
      </c>
    </row>
    <row r="22">
      <c r="A22" s="11" t="inlineStr">
        <is>
          <t>소스 Box 1개 처리 = T1 + P×T2 + L×T3 + k×T4 + (2L−k)×T5 + T6 + T7</t>
        </is>
      </c>
      <c r="D22" s="13">
        <f>D5+$D$18*D6+$D$16*D7+$D$17*D8+(2*$D$16-$D$17)*D9+D10+D11</f>
        <v/>
      </c>
    </row>
    <row r="23">
      <c r="A23" s="11" t="inlineStr">
        <is>
          <t xml:space="preserve">  └ 분 환산</t>
        </is>
      </c>
      <c r="D23" s="13">
        <f>ROUND(D22/60,1)</f>
        <v/>
      </c>
    </row>
    <row r="24">
      <c r="A24" s="11" t="inlineStr">
        <is>
          <t>층 1개 (Tray 1 + Cell 2, Target 1 / 비Target 1)</t>
        </is>
      </c>
      <c r="D24" s="13">
        <f>D7+D8+D9</f>
        <v/>
      </c>
    </row>
    <row r="25">
      <c r="A25" s="11" t="inlineStr">
        <is>
          <t>P-Box 뚜껑 재결합 3회 (미구현 추정)</t>
        </is>
      </c>
      <c r="D25" s="13">
        <f>$D$18*D12</f>
        <v/>
      </c>
    </row>
    <row r="27">
      <c r="A27" s="10" t="inlineStr">
        <is>
          <t>예외 관측 (정상 사이클 합계에 미포함)</t>
        </is>
      </c>
    </row>
    <row r="28">
      <c r="A28" s="11" t="inlineStr">
        <is>
          <t>바코드 스캔 재시도 (09/09 Cell 6개 중 1회)</t>
        </is>
      </c>
      <c r="D28" s="14" t="inlineStr">
        <is>
          <t>+9s</t>
        </is>
      </c>
    </row>
    <row r="29">
      <c r="A29" s="11" t="inlineStr">
        <is>
          <t>Cell 적재 misseat → 운영자 게이트 (09/09 Cell 6개 중 1회)</t>
        </is>
      </c>
      <c r="D29" s="14" t="inlineStr">
        <is>
          <t>+8s</t>
        </is>
      </c>
    </row>
    <row r="30">
      <c r="A30" s="11" t="inlineStr">
        <is>
          <t>종이 뚜껑 흡착 재시도 (09/05~06 6회 중 2회)</t>
        </is>
      </c>
      <c r="D30" s="14" t="inlineStr">
        <is>
          <t>+2~8s</t>
        </is>
      </c>
    </row>
    <row r="31">
      <c r="A31" s="11" t="inlineStr">
        <is>
          <t>torso 이동 후 IK 모델 재빌드 (현재 코드, 회당 — 캐시로 제거 가능)</t>
        </is>
      </c>
      <c r="D31" s="14" t="inlineStr">
        <is>
          <t>+5s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5" t="inlineStr">
        <is>
          <t>이 문서</t>
        </is>
      </c>
    </row>
    <row r="2">
      <c r="A2" s="16" t="inlineStr">
        <is>
          <t>LGCNS chassis_sequence.py의 실제 실행 흐름을 Lv2(태스크) 단위로 재구성한 소요시간표. LGES 원본 '잡할당 리스트_v0.1' 시트 0907의 작업 구분과는 별개 구조. 0초 행은 두지 않고, 병행 수행되는 동작은 시간이 속하는 행에 합쳐 단계명과 근거에 표기.</t>
        </is>
      </c>
    </row>
    <row r="3">
      <c r="A3" s="15" t="inlineStr">
        <is>
          <t>측정 방법</t>
        </is>
      </c>
    </row>
    <row r="4">
      <c r="A4" s="16" t="inlineStr">
        <is>
          <t>실행 로그(run_logs) 타임스탬프 경계. 이동 = 섀시 주행 명령~정지 정착. 인식 = 검출 로그 사이 간격. Arm 접근 = 흡착 접근 시작~xy 정착. 흡착 = xy 정착~진공 실링. 적재/내림 = xy 정착~코너 시트. 상승 = 착지~반송 높이. 초 단위 정수 반올림.</t>
        </is>
      </c>
    </row>
    <row r="5">
      <c r="A5" s="15" t="inlineStr">
        <is>
          <t>근거 유형</t>
        </is>
      </c>
    </row>
    <row r="6">
      <c r="A6" s="16" t="inlineStr">
        <is>
          <t>실측: 로그 실측 (횟수는 근거 상세). 실측(상한): 사람이 섀시를 몰고 `d`를 누르기까지의 대기 — 조이스틱 주행이 로그에 없어 상한값이며 실제 거리에 따라 늘어남. 지정값: 미실측, 협의로 정한 값(드롭 4s). 추정: 유사 동작 실측값 차용. 미구현: 코드 없음.</t>
        </is>
      </c>
    </row>
    <row r="7">
      <c r="A7" s="15" t="inlineStr">
        <is>
          <t>병행 전제</t>
        </is>
      </c>
    </row>
    <row r="8">
      <c r="A8" s="16" t="inlineStr">
        <is>
          <t>torso 기울임/복귀(각 6.4s, 속도 0.3)와 IK 모델 재빌드(회당 5s)는 섀시 주행과 병행하는 것으로 보고 이동 행에 흡수. 현재 코드는 순차 실행이므로 실제 달성에는 (1) IK 모델 캐시(URDF 파싱 4s + 충돌 형상 1s는 torso와 무관하므로 1회만), (2) 기울임을 주행 스레드와 동시 실행하는 변경이 필요.</t>
        </is>
      </c>
    </row>
    <row r="9">
      <c r="A9" s="16" t="inlineStr">
        <is>
          <t>타겟측 인식은 0.5 m 주행 중 수행되어 별도 시간이 없음 → 이동 행에 표기.</t>
        </is>
      </c>
    </row>
    <row r="10">
      <c r="A10" s="15" t="inlineStr">
        <is>
          <t>LGES 공정과의 차이 (인식 대상)</t>
        </is>
      </c>
    </row>
    <row r="11">
      <c r="A11" s="16" t="inlineStr">
        <is>
          <t>1) P-Box 인식 없음: 타겟 P-Box 자체를 보지 않고 스택 맨 위 Tray를 인식해 그 위에 쌓음. 데모는 타겟 스택에 Tray 1장이 깔린 상태에서 시작. 빈 P-Box 시작이면 bin 박스 인식(T6에 있는 기능, ~1s)을 루프에 연결해야 함.</t>
        </is>
      </c>
    </row>
    <row r="12">
      <c r="A12" s="16" t="inlineStr">
        <is>
          <t>2) Cell 개별 인식 없음: Tray 인식 결과에 고정 offset을 더해 Cell 위치를 정함. Cell이 Tray 안에서 밀리면 그대로 어긋남.</t>
        </is>
      </c>
    </row>
    <row r="13">
      <c r="A13" s="16" t="inlineStr">
        <is>
          <t>3) 뚜껑 태스크는 박스가 아니라 뚜껑을 인식(픽 시, 바닥 보관 시). Box 폐기(T7)만 박스 테두리를 직접 인식.</t>
        </is>
      </c>
    </row>
    <row r="14">
      <c r="A14" s="15" t="inlineStr">
        <is>
          <t>미실측 · 미구현</t>
        </is>
      </c>
    </row>
    <row r="15">
      <c r="A15" s="16" t="inlineStr">
        <is>
          <t>T1 뚜껑 드롭, T7 Box 드롭: 드롭까지 도달한 실행 없음(모두 이동 중 `q`) → 지정값 4s. T8 P-Box 뚜껑 재결합: 코드 없음, --lid 역순 추정(바닥 픽은 기울인 자세 필요, P-Box 테두리 정렬 로직 없음). T9 Tool 교체: 코드 없음.</t>
        </is>
      </c>
    </row>
    <row r="16">
      <c r="A16" s="15" t="inlineStr">
        <is>
          <t>원본 0907 시트 작업 구분과의 대응</t>
        </is>
      </c>
    </row>
    <row r="17">
      <c r="A17" s="16" t="inlineStr">
        <is>
          <t>Box 뚜껑 폐기 → T1 / P-Box 뚜껑 보관 → T2 / 기본 포장 Tray(1EA) 이동 → T3 / Target Cell 판독 → T4 / 비 Target Cell 잔량 box 적재 → T5 / P-Box 보관 뚜껑 재결합 → T8 / Tool 교체 → T9. T0(기동), T6(마지막 Tray→bin), T7(빈 Box 폐기)은 원본에 없음.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2026-09-10T01:43:57Z</dcterms:created>
  <dcterms:modified xmlns:dcterms="http://purl.org/dc/terms/" xmlns:xsi="http://www.w3.org/2001/XMLSchema-instance" xsi:type="dcterms:W3CDTF">2026-09-10T01:43:57Z</dcterms:modified>
</cp:coreProperties>
</file>