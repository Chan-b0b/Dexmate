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01.물류\00.사업발굴\00.보고\04. 과제보고\05.2026\01.고객시나리오\03.LG엔솔 기술원\"/>
    </mc:Choice>
  </mc:AlternateContent>
  <xr:revisionPtr revIDLastSave="0" documentId="8_{9AFB1B6F-1C23-4768-99D7-AB9D1EA833A0}" xr6:coauthVersionLast="47" xr6:coauthVersionMax="47" xr10:uidLastSave="{00000000-0000-0000-0000-000000000000}"/>
  <bookViews>
    <workbookView xWindow="38280" yWindow="-120" windowWidth="38640" windowHeight="15720" xr2:uid="{00000000-000D-0000-FFFF-FFFF00000000}"/>
  </bookViews>
  <sheets>
    <sheet name="0907" sheetId="1" r:id="rId1"/>
    <sheet name="0907 (3)" sheetId="4" state="hidden" r:id="rId2"/>
    <sheet name="0907 (2)" sheetId="3" state="hidden" r:id="rId3"/>
    <sheet name="Sheet1 (2)" sheetId="2" state="hidden" r:id="rId4"/>
  </sheets>
  <definedNames>
    <definedName name="_xlnm._FilterDatabase" localSheetId="0" hidden="1">'0907'!$B$3:$K$106</definedName>
    <definedName name="_xlnm._FilterDatabase" localSheetId="2" hidden="1">'0907 (2)'!$B$3:$I$27</definedName>
    <definedName name="_xlnm._FilterDatabase" localSheetId="1" hidden="1">'0907 (3)'!$B$3:$I$106</definedName>
  </definedNames>
  <calcPr calcId="191028" iterateDelta="1E-4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  <c r="I91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57" i="1"/>
  <c r="I58" i="1"/>
  <c r="I59" i="1"/>
  <c r="I60" i="1"/>
  <c r="I61" i="1"/>
  <c r="I62" i="1"/>
  <c r="I63" i="1"/>
  <c r="I64" i="1"/>
  <c r="I65" i="1"/>
  <c r="I66" i="1"/>
  <c r="I67" i="1"/>
  <c r="I68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19" i="1"/>
  <c r="I18" i="1"/>
  <c r="I17" i="1"/>
  <c r="I16" i="1"/>
  <c r="I15" i="1"/>
  <c r="I14" i="1"/>
  <c r="I13" i="1"/>
  <c r="F1" i="2"/>
  <c r="H38" i="3"/>
  <c r="K38" i="3" s="1"/>
  <c r="G38" i="3"/>
  <c r="J38" i="3" s="1"/>
  <c r="H37" i="3"/>
  <c r="K37" i="3" s="1"/>
  <c r="G37" i="3"/>
  <c r="J37" i="3" s="1"/>
  <c r="H36" i="3"/>
  <c r="K36" i="3" s="1"/>
  <c r="G36" i="3"/>
  <c r="J36" i="3" s="1"/>
  <c r="H35" i="3"/>
  <c r="K35" i="3" s="1"/>
  <c r="G35" i="3"/>
  <c r="J35" i="3" s="1"/>
  <c r="H34" i="3"/>
  <c r="K34" i="3" s="1"/>
  <c r="G34" i="3"/>
  <c r="J34" i="3" s="1"/>
  <c r="H33" i="3"/>
  <c r="K33" i="3" s="1"/>
  <c r="G33" i="3"/>
  <c r="J33" i="3" s="1"/>
  <c r="H32" i="3"/>
  <c r="K32" i="3" s="1"/>
  <c r="G32" i="3"/>
  <c r="J32" i="3" s="1"/>
  <c r="H31" i="3"/>
  <c r="K31" i="3" s="1"/>
  <c r="G31" i="3"/>
  <c r="J31" i="3" s="1"/>
  <c r="H30" i="3"/>
  <c r="K30" i="3" s="1"/>
  <c r="G30" i="3"/>
  <c r="J30" i="3" s="1"/>
  <c r="H117" i="4"/>
  <c r="K117" i="4" s="1"/>
  <c r="G117" i="4"/>
  <c r="J117" i="4" s="1"/>
  <c r="H116" i="4"/>
  <c r="K116" i="4" s="1"/>
  <c r="G116" i="4"/>
  <c r="J116" i="4" s="1"/>
  <c r="H115" i="4"/>
  <c r="K115" i="4" s="1"/>
  <c r="G115" i="4"/>
  <c r="J115" i="4" s="1"/>
  <c r="H114" i="4"/>
  <c r="K114" i="4" s="1"/>
  <c r="G114" i="4"/>
  <c r="J114" i="4" s="1"/>
  <c r="H113" i="4"/>
  <c r="K113" i="4" s="1"/>
  <c r="G113" i="4"/>
  <c r="J113" i="4" s="1"/>
  <c r="H112" i="4"/>
  <c r="K112" i="4" s="1"/>
  <c r="G112" i="4"/>
  <c r="J112" i="4" s="1"/>
  <c r="H111" i="4"/>
  <c r="K111" i="4" s="1"/>
  <c r="K121" i="4" s="1"/>
  <c r="G111" i="4"/>
  <c r="J111" i="4" s="1"/>
  <c r="H110" i="4"/>
  <c r="K110" i="4" s="1"/>
  <c r="G110" i="4"/>
  <c r="J110" i="4" s="1"/>
  <c r="H109" i="4"/>
  <c r="K109" i="4" s="1"/>
  <c r="G109" i="4"/>
  <c r="J109" i="4" s="1"/>
  <c r="H117" i="1"/>
  <c r="M117" i="1" s="1"/>
  <c r="G117" i="1"/>
  <c r="L117" i="1" s="1"/>
  <c r="H116" i="1"/>
  <c r="M116" i="1" s="1"/>
  <c r="G116" i="1"/>
  <c r="L116" i="1" s="1"/>
  <c r="H115" i="1"/>
  <c r="M115" i="1" s="1"/>
  <c r="G115" i="1"/>
  <c r="L115" i="1" s="1"/>
  <c r="H114" i="1"/>
  <c r="M114" i="1" s="1"/>
  <c r="G114" i="1"/>
  <c r="L114" i="1" s="1"/>
  <c r="H113" i="1"/>
  <c r="M113" i="1" s="1"/>
  <c r="G113" i="1"/>
  <c r="L113" i="1" s="1"/>
  <c r="H112" i="1"/>
  <c r="M112" i="1" s="1"/>
  <c r="G112" i="1"/>
  <c r="L112" i="1" s="1"/>
  <c r="H111" i="1"/>
  <c r="M111" i="1" s="1"/>
  <c r="G111" i="1"/>
  <c r="L111" i="1" s="1"/>
  <c r="H110" i="1"/>
  <c r="M110" i="1" s="1"/>
  <c r="G110" i="1"/>
  <c r="L110" i="1" s="1"/>
  <c r="H109" i="1"/>
  <c r="M109" i="1" s="1"/>
  <c r="G109" i="1"/>
  <c r="L109" i="1" s="1"/>
  <c r="L118" i="1" l="1"/>
  <c r="M118" i="1"/>
  <c r="J118" i="4"/>
  <c r="K118" i="4"/>
  <c r="L121" i="1"/>
  <c r="J39" i="3"/>
  <c r="M121" i="1"/>
  <c r="K39" i="3"/>
  <c r="J121" i="4"/>
</calcChain>
</file>

<file path=xl/sharedStrings.xml><?xml version="1.0" encoding="utf-8"?>
<sst xmlns="http://schemas.openxmlformats.org/spreadsheetml/2006/main" count="2243" uniqueCount="138">
  <si>
    <t>LGES</t>
  </si>
  <si>
    <t>LGCNS</t>
  </si>
  <si>
    <t>Lv1</t>
  </si>
  <si>
    <t>Lv2</t>
  </si>
  <si>
    <t>Lv3</t>
  </si>
  <si>
    <t>수행</t>
  </si>
  <si>
    <t>작업 구분</t>
  </si>
  <si>
    <t>소요시간
(sec, 휴머노이드)</t>
    <phoneticPr fontId="1" type="noConversion"/>
  </si>
  <si>
    <t>소요시간
(sec, 사람)</t>
    <phoneticPr fontId="1" type="noConversion"/>
  </si>
  <si>
    <t>차이</t>
    <phoneticPr fontId="1" type="noConversion"/>
  </si>
  <si>
    <t>목표 소요시간</t>
    <phoneticPr fontId="1" type="noConversion"/>
  </si>
  <si>
    <t>자동화 요청(O/X)</t>
  </si>
  <si>
    <t>자동화 검토(O/X)</t>
  </si>
  <si>
    <t>사유(비고)</t>
  </si>
  <si>
    <t>낱개 단위 출고</t>
    <phoneticPr fontId="1" type="noConversion"/>
  </si>
  <si>
    <t>Mini Kiva로 박스 테이핑 커팅기에 박스 공급</t>
  </si>
  <si>
    <t>작업지시</t>
  </si>
  <si>
    <t>System</t>
  </si>
  <si>
    <t>O</t>
    <phoneticPr fontId="1" type="noConversion"/>
  </si>
  <si>
    <t>낱개 단위 출고</t>
  </si>
  <si>
    <t>이동(Box위치)</t>
  </si>
  <si>
    <t>Kiva</t>
  </si>
  <si>
    <t>O</t>
  </si>
  <si>
    <t>적재</t>
  </si>
  <si>
    <t>이동(Box커팅기)</t>
  </si>
  <si>
    <t>하역</t>
  </si>
  <si>
    <t>박스 테이핑 커팅기로 테이핑 커팅</t>
  </si>
  <si>
    <t>Box 커팅</t>
  </si>
  <si>
    <t>Box 커팅기</t>
  </si>
  <si>
    <t>Mini-Kiva로 테이프 커팅된 박스 소스 스테이션으로 이송</t>
  </si>
  <si>
    <t>이동(소스 포지션)</t>
  </si>
  <si>
    <t>휴머노이드로 소스 스테이션에 도착한 박스 뚜껑 폐기</t>
  </si>
  <si>
    <t>Box 인식</t>
  </si>
  <si>
    <t>휴머노이드</t>
  </si>
  <si>
    <t>Box 뚜껑 폐기</t>
  </si>
  <si>
    <t>Arm Box 위로 이동</t>
  </si>
  <si>
    <t>Box 뚜껑 파지</t>
    <phoneticPr fontId="1" type="noConversion"/>
  </si>
  <si>
    <t>Arm 상승</t>
  </si>
  <si>
    <t>이동(폐기포지션)</t>
  </si>
  <si>
    <t>Mini-Kiva로 잔량 / 타겟용 / Tray 가 담긴 P-Box 공급</t>
  </si>
  <si>
    <t>이동(Tray위치)</t>
  </si>
  <si>
    <t>Mini-Kiva로 잔량 / 타겟용 / 포장재 P-Box가 담긴 Tray 공급</t>
  </si>
  <si>
    <t>이동(Tray 포지션)</t>
  </si>
  <si>
    <t>이동(공박스 위치)</t>
  </si>
  <si>
    <t>이동(Target 포지션)</t>
  </si>
  <si>
    <t>이동(잔량 포지션)</t>
  </si>
  <si>
    <t>휴머노이드로 P-Box 뚜껑 오픈 후 보관</t>
  </si>
  <si>
    <t>P-Box 뚜껑 보관</t>
  </si>
  <si>
    <t>Box 뚜껑 흡착</t>
  </si>
  <si>
    <t>이동(뚜껑 보관 위치)</t>
    <phoneticPr fontId="1" type="noConversion"/>
  </si>
  <si>
    <t>Box 뚜껑 보관</t>
  </si>
  <si>
    <t>타겟 P-Box에 Tray 공급</t>
    <phoneticPr fontId="1" type="noConversion"/>
  </si>
  <si>
    <t>기본 포장 Tray(1EA) 이동</t>
  </si>
  <si>
    <t>타겟 P-Box에 Tray 공급</t>
  </si>
  <si>
    <t>Tray 인식</t>
    <phoneticPr fontId="1" type="noConversion"/>
  </si>
  <si>
    <t>Tray 흡착</t>
  </si>
  <si>
    <t>이동(Target 포지션)</t>
    <phoneticPr fontId="1" type="noConversion"/>
  </si>
  <si>
    <t>Tray 내림</t>
  </si>
  <si>
    <t>Cell 판독 / 이재 (Target)</t>
    <phoneticPr fontId="1" type="noConversion"/>
  </si>
  <si>
    <t>Target Cell 판독/이재</t>
    <phoneticPr fontId="1" type="noConversion"/>
  </si>
  <si>
    <t>Cell 판독 / 이재 (Target)</t>
  </si>
  <si>
    <t>Cell 흡착 + 바코드  + Target 판정</t>
    <phoneticPr fontId="1" type="noConversion"/>
  </si>
  <si>
    <t>이동(타겟 포지션)</t>
    <phoneticPr fontId="1" type="noConversion"/>
  </si>
  <si>
    <t>Cell 내림</t>
    <phoneticPr fontId="1" type="noConversion"/>
  </si>
  <si>
    <t>Cell 판독 / 이재 (비 Target)</t>
    <phoneticPr fontId="1" type="noConversion"/>
  </si>
  <si>
    <t>비Target Cell 판독/이재</t>
    <phoneticPr fontId="1" type="noConversion"/>
  </si>
  <si>
    <t>Cell 판독 / 이재 (비 Target)</t>
  </si>
  <si>
    <t>이동(잔량 포지션)</t>
    <phoneticPr fontId="1" type="noConversion"/>
  </si>
  <si>
    <t>Tray 이재</t>
    <phoneticPr fontId="1" type="noConversion"/>
  </si>
  <si>
    <t>Tray 이재</t>
  </si>
  <si>
    <t>Tray 흡착</t>
    <phoneticPr fontId="1" type="noConversion"/>
  </si>
  <si>
    <t>빈 소스 Box 폐기</t>
    <phoneticPr fontId="1" type="noConversion"/>
  </si>
  <si>
    <t>Arm Box 위로 이동</t>
    <phoneticPr fontId="1" type="noConversion"/>
  </si>
  <si>
    <t>Box 폐기</t>
    <phoneticPr fontId="1" type="noConversion"/>
  </si>
  <si>
    <t>빈 소스 Box 폐기</t>
  </si>
  <si>
    <t>Arm 하강 + 그리퍼 파지</t>
    <phoneticPr fontId="1" type="noConversion"/>
  </si>
  <si>
    <t>Arm 상승</t>
    <phoneticPr fontId="1" type="noConversion"/>
  </si>
  <si>
    <t>이동 (폐기 포지션)</t>
    <phoneticPr fontId="1" type="noConversion"/>
  </si>
  <si>
    <t>Box 드롭 (하강 + 그리퍼 개방)</t>
    <phoneticPr fontId="1" type="noConversion"/>
  </si>
  <si>
    <t>이동(소스 포지션)</t>
    <phoneticPr fontId="1" type="noConversion"/>
  </si>
  <si>
    <t>P-Box 뚜껑 재결합</t>
    <phoneticPr fontId="1" type="noConversion"/>
  </si>
  <si>
    <t>P-Box 보관 뚜껑 재결합</t>
  </si>
  <si>
    <t>P-Box 뚜껑 재결합</t>
  </si>
  <si>
    <t>P-Box 뚜껑 인식</t>
    <phoneticPr fontId="1" type="noConversion"/>
  </si>
  <si>
    <t xml:space="preserve">Arm 뚜껑 위로 접근 </t>
    <phoneticPr fontId="1" type="noConversion"/>
  </si>
  <si>
    <t>뚜껑 흡착</t>
    <phoneticPr fontId="1" type="noConversion"/>
  </si>
  <si>
    <t>이동(P-Box 포지션)</t>
    <phoneticPr fontId="1" type="noConversion"/>
  </si>
  <si>
    <t>P-Box 인식 + 자세 정렬</t>
    <phoneticPr fontId="1" type="noConversion"/>
  </si>
  <si>
    <t>Arm 하강 + 릴리즈</t>
    <phoneticPr fontId="1" type="noConversion"/>
  </si>
  <si>
    <t>Kiva 호출</t>
  </si>
  <si>
    <t>이동(하역위치)</t>
  </si>
  <si>
    <t>Tool 교체</t>
  </si>
  <si>
    <t>산정중</t>
  </si>
  <si>
    <t>추가 검토 필요</t>
    <phoneticPr fontId="1" type="noConversion"/>
  </si>
  <si>
    <t>폼팩터 타입에 따른 Tool 추가 검토 필요</t>
    <phoneticPr fontId="1" type="noConversion"/>
  </si>
  <si>
    <t>Box 인식(Cell종류 인식)</t>
  </si>
  <si>
    <t>착용 Tool 인식</t>
  </si>
  <si>
    <t>착용 Tool 적합성 판정(N)</t>
  </si>
  <si>
    <t>이동(Tool 보관위치)</t>
  </si>
  <si>
    <t>Tool 인식</t>
  </si>
  <si>
    <t>적합 Tool 확인</t>
  </si>
  <si>
    <t>이동(착용 Tool 보관위치)</t>
  </si>
  <si>
    <t>착용 Tool 제거</t>
  </si>
  <si>
    <t>이동(적합 Tool 보관위치)</t>
  </si>
  <si>
    <t>적합 Tool 착용</t>
  </si>
  <si>
    <t>구분</t>
    <phoneticPr fontId="1" type="noConversion"/>
  </si>
  <si>
    <t>휴머노이드</t>
    <phoneticPr fontId="1" type="noConversion"/>
  </si>
  <si>
    <t>작업자</t>
    <phoneticPr fontId="1" type="noConversion"/>
  </si>
  <si>
    <t>수행횟수</t>
    <phoneticPr fontId="1" type="noConversion"/>
  </si>
  <si>
    <t>휴머노이드 총 시간</t>
    <phoneticPr fontId="1" type="noConversion"/>
  </si>
  <si>
    <t>작업자 총 시간</t>
    <phoneticPr fontId="1" type="noConversion"/>
  </si>
  <si>
    <t>Box 폐기</t>
  </si>
  <si>
    <t>Cell 판독 필요 시 개당 30s / Cell 판독 불필요 시 개당 23s</t>
  </si>
  <si>
    <t>184~240s</t>
  </si>
  <si>
    <t>8개 기준</t>
  </si>
  <si>
    <t>소요시간(sec, 사람)</t>
  </si>
  <si>
    <t>이동(Box 보관 위치)</t>
  </si>
  <si>
    <t>타겟 P-Box에 Cell 포장재 이재</t>
  </si>
  <si>
    <t>소스 Box에서 포장재 → Cell → 포장재 → Cell 순으로 해체하면서 Cell ID 판독</t>
  </si>
  <si>
    <t>Box 인식(Tray)</t>
  </si>
  <si>
    <t>Box 인식(Cell)</t>
  </si>
  <si>
    <t>Cell 흡착 + 바코드 스캔</t>
  </si>
  <si>
    <t>└ 바코드 스캔 (흡착 중 동시 수행 — 위 행에 합산)</t>
  </si>
  <si>
    <t>Traget 판정(N)</t>
  </si>
  <si>
    <t>Cell 적재</t>
  </si>
  <si>
    <t>출고 대상 Cell 타겟 P-Box로 이재</t>
  </si>
  <si>
    <t>Traget 판정(Y)</t>
  </si>
  <si>
    <t>소스 Box 내 남은 포장재 및 Cell 전량을 잔량 P-Box로 이재(+Cell ID 스캔)</t>
  </si>
  <si>
    <t>Traget 판정</t>
  </si>
  <si>
    <t>N : 이동(잔량 포지션)</t>
  </si>
  <si>
    <t>출고 대상 Cell 피킹이 완료된 타겟 P-Box 위에 포장재 이재</t>
  </si>
  <si>
    <t>낱개 피킹 완료된 박스는 폐기, P-Box는 뚜껑 결합 후 ACR 재적치</t>
  </si>
  <si>
    <t>이동(Box 보관)</t>
  </si>
  <si>
    <t>Box 뚜껑 인식</t>
  </si>
  <si>
    <t>Arm Box 뚜껑 위로 이동</t>
  </si>
  <si>
    <t>Box 뚜껑 내림</t>
  </si>
  <si>
    <t>이동(Tray 위치)</t>
  </si>
  <si>
    <t>이동(보관위치)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</si>
</sst>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b/>
      <sz val="11"/>
      <color theme="0"/>
      <name val="LG스마트체 Regular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LG스마트체 Regular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4" borderId="3" xfId="0" applyFont="1" applyFill="1" applyBorder="1">
      <alignment vertical="center"/>
    </xf>
    <xf numFmtId="0" fontId="4" fillId="4" borderId="4" xfId="0" applyFont="1" applyFill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/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2" fillId="4" borderId="1" xfId="0" applyFont="1" applyFill="1" applyBorder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176" fontId="5" fillId="0" borderId="0" xfId="0" applyNumberFormat="1" applyFont="1">
      <alignment vertical="center"/>
    </xf>
    <xf numFmtId="176" fontId="0" fillId="0" borderId="0" xfId="0" applyNumberFormat="1" applyAlignment="1"/>
    <xf numFmtId="176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176" fontId="2" fillId="7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applyNumberFormat="1" numFmtId="2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240A7C2-29CF-49A7-86E3-C5C7CCE865A8}">
  <we:reference id="cba9fc06-6fc9-492e-9525-923870a3b909" version="2.0.0.0" store="EXCatalog" storeType="EXCatalog"/>
  <we:alternateReferences>
    <we:reference id="WA200010215" version="2.0.0.0" store="ko-KR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AA6FC81-F2E2-4A70-8A7D-DAD4D1F779D6}">
  <we:reference id="11d7cf85-ae5a-43b8-bc58-1e1a151cce24" version="1.0.0.1" store="EXCatalog" storeType="EXCatalog"/>
  <we:alternateReferences>
    <we:reference id="WA200010725" version="1.0.0.1" store="ko-KR" storeType="OMEX"/>
  </we:alternateReferences>
  <we:properties>
    <we:property name="claude.fileId" value="&quot;458ae94f-917c-4bd0-aca4-a40819d9f7a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P127"/>
  <sheetViews>
    <sheetView showGridLines="0" tabSelected="1" zoomScale="85" zoomScaleNormal="85" workbookViewId="0">
      <selection activeCell="G3" sqref="G3"/>
    </sheetView>
  </sheetViews>
  <sheetFormatPr defaultRowHeight="17.100000000000001"/>
  <cols>
    <col min="2" max="2" width="12.5" style="15" bestFit="1" customWidth="1"/>
    <col min="3" max="3" width="63.375" style="15" bestFit="1" customWidth="1"/>
    <col min="4" max="4" width="27.625" style="15" customWidth="1"/>
    <col min="5" max="5" width="9.875" style="15" bestFit="1" customWidth="1"/>
    <col min="6" max="6" width="26" style="15" customWidth="1"/>
    <col min="7" max="7" width="16.5" style="15" bestFit="1" customWidth="1"/>
    <col min="8" max="10" width="16.5" style="15" customWidth="1"/>
    <col min="11" max="12" width="15.875" style="15" customWidth="1"/>
    <col min="13" max="13" width="32.625" style="15" bestFit="1" customWidth="1"/>
    <col min="14" max="14" width="15.875" style="15" customWidth="1"/>
    <col min="15" max="15" width="12.875" style="15" bestFit="1" customWidth="1"/>
    <col min="16" max="16" width="11.125" style="15" bestFit="1" customWidth="1"/>
  </cols>
  <sheetData>
    <row r="2" spans="2:14">
      <c r="K2" t="s">
        <v>0</v>
      </c>
      <c r="L2" t="s">
        <v>1</v>
      </c>
      <c r="N2"/>
    </row>
    <row r="3" spans="2:14" ht="27.6" customHeight="1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26" t="s">
        <v>7</v>
      </c>
      <c r="H3" s="27" t="s">
        <v>8</v>
      </c>
      <c r="I3" s="27" t="s">
        <v>9</v>
      </c>
      <c r="J3" s="38" t="s">
        <v>10</v>
      </c>
      <c r="K3" s="11" t="s">
        <v>11</v>
      </c>
      <c r="L3" s="13" t="s">
        <v>12</v>
      </c>
      <c r="M3" s="5" t="s">
        <v>13</v>
      </c>
      <c r="N3" s="22"/>
    </row>
    <row r="4" spans="2:14" hidden="1">
      <c r="B4" s="6" t="s">
        <v>14</v>
      </c>
      <c r="C4" s="6" t="s">
        <v>15</v>
      </c>
      <c r="D4" s="1" t="s">
        <v>16</v>
      </c>
      <c r="E4" s="1" t="s">
        <v>17</v>
      </c>
      <c r="F4" s="1"/>
      <c r="G4" s="3"/>
      <c r="H4" s="12"/>
      <c r="I4" s="12"/>
      <c r="J4" s="12"/>
      <c r="K4" s="12" t="s">
        <v>18</v>
      </c>
      <c r="L4" s="3" t="s">
        <v>18</v>
      </c>
      <c r="M4" s="1"/>
      <c r="N4" s="21"/>
    </row>
    <row r="5" spans="2:14" hidden="1">
      <c r="B5" s="9" t="s">
        <v>19</v>
      </c>
      <c r="C5" s="7" t="s">
        <v>15</v>
      </c>
      <c r="D5" s="1" t="s">
        <v>20</v>
      </c>
      <c r="E5" s="1" t="s">
        <v>21</v>
      </c>
      <c r="F5" s="1"/>
      <c r="G5" s="3"/>
      <c r="H5" s="12"/>
      <c r="I5" s="12"/>
      <c r="J5" s="12"/>
      <c r="K5" s="12" t="s">
        <v>22</v>
      </c>
      <c r="L5" s="3" t="s">
        <v>18</v>
      </c>
      <c r="M5" s="1"/>
      <c r="N5" s="21"/>
    </row>
    <row r="6" spans="2:14" hidden="1">
      <c r="B6" s="9" t="s">
        <v>19</v>
      </c>
      <c r="C6" s="7" t="s">
        <v>15</v>
      </c>
      <c r="D6" s="1" t="s">
        <v>23</v>
      </c>
      <c r="E6" s="1" t="s">
        <v>21</v>
      </c>
      <c r="F6" s="1"/>
      <c r="G6" s="3"/>
      <c r="H6" s="12"/>
      <c r="I6" s="12"/>
      <c r="J6" s="12"/>
      <c r="K6" s="12" t="s">
        <v>22</v>
      </c>
      <c r="L6" s="3" t="s">
        <v>18</v>
      </c>
      <c r="M6" s="1"/>
      <c r="N6" s="21"/>
    </row>
    <row r="7" spans="2:14" hidden="1">
      <c r="B7" s="9" t="s">
        <v>19</v>
      </c>
      <c r="C7" s="7" t="s">
        <v>15</v>
      </c>
      <c r="D7" s="1" t="s">
        <v>24</v>
      </c>
      <c r="E7" s="1" t="s">
        <v>21</v>
      </c>
      <c r="F7" s="1"/>
      <c r="G7" s="3"/>
      <c r="H7" s="12"/>
      <c r="I7" s="12"/>
      <c r="J7" s="12"/>
      <c r="K7" s="12" t="s">
        <v>22</v>
      </c>
      <c r="L7" s="3" t="s">
        <v>18</v>
      </c>
      <c r="M7" s="1"/>
      <c r="N7" s="21"/>
    </row>
    <row r="8" spans="2:14" hidden="1">
      <c r="B8" s="9" t="s">
        <v>19</v>
      </c>
      <c r="C8" s="8" t="s">
        <v>15</v>
      </c>
      <c r="D8" s="1" t="s">
        <v>25</v>
      </c>
      <c r="E8" s="1" t="s">
        <v>21</v>
      </c>
      <c r="F8" s="1"/>
      <c r="G8" s="3"/>
      <c r="H8" s="12"/>
      <c r="I8" s="12"/>
      <c r="J8" s="12"/>
      <c r="K8" s="12" t="s">
        <v>22</v>
      </c>
      <c r="L8" s="3" t="s">
        <v>18</v>
      </c>
      <c r="M8" s="1"/>
      <c r="N8" s="21"/>
    </row>
    <row r="9" spans="2:14" hidden="1">
      <c r="B9" s="9" t="s">
        <v>19</v>
      </c>
      <c r="C9" s="4" t="s">
        <v>26</v>
      </c>
      <c r="D9" s="1" t="s">
        <v>27</v>
      </c>
      <c r="E9" s="1" t="s">
        <v>28</v>
      </c>
      <c r="F9" s="1"/>
      <c r="G9" s="3"/>
      <c r="H9" s="12"/>
      <c r="I9" s="12"/>
      <c r="J9" s="12"/>
      <c r="K9" s="12" t="s">
        <v>22</v>
      </c>
      <c r="L9" s="3" t="s">
        <v>18</v>
      </c>
      <c r="M9" s="1"/>
      <c r="N9" s="21"/>
    </row>
    <row r="10" spans="2:14" hidden="1">
      <c r="B10" s="9" t="s">
        <v>19</v>
      </c>
      <c r="C10" s="6" t="s">
        <v>29</v>
      </c>
      <c r="D10" s="1" t="s">
        <v>23</v>
      </c>
      <c r="E10" s="1" t="s">
        <v>21</v>
      </c>
      <c r="F10" s="1"/>
      <c r="G10" s="3"/>
      <c r="H10" s="12"/>
      <c r="I10" s="12"/>
      <c r="J10" s="12"/>
      <c r="K10" s="12" t="s">
        <v>22</v>
      </c>
      <c r="L10" s="3" t="s">
        <v>18</v>
      </c>
      <c r="M10" s="1"/>
      <c r="N10" s="21"/>
    </row>
    <row r="11" spans="2:14" hidden="1">
      <c r="B11" s="9" t="s">
        <v>19</v>
      </c>
      <c r="C11" s="9" t="s">
        <v>29</v>
      </c>
      <c r="D11" s="1" t="s">
        <v>30</v>
      </c>
      <c r="E11" s="1" t="s">
        <v>21</v>
      </c>
      <c r="F11" s="1"/>
      <c r="G11" s="3"/>
      <c r="H11" s="12"/>
      <c r="I11" s="12"/>
      <c r="J11" s="12"/>
      <c r="K11" s="12" t="s">
        <v>22</v>
      </c>
      <c r="L11" s="3" t="s">
        <v>18</v>
      </c>
      <c r="M11" s="1"/>
      <c r="N11" s="21"/>
    </row>
    <row r="12" spans="2:14" hidden="1">
      <c r="B12" s="9" t="s">
        <v>19</v>
      </c>
      <c r="C12" s="10" t="s">
        <v>29</v>
      </c>
      <c r="D12" s="1" t="s">
        <v>25</v>
      </c>
      <c r="E12" s="1" t="s">
        <v>21</v>
      </c>
      <c r="F12" s="1"/>
      <c r="G12" s="3"/>
      <c r="H12" s="12"/>
      <c r="I12" s="12"/>
      <c r="J12" s="12"/>
      <c r="K12" s="12" t="s">
        <v>22</v>
      </c>
      <c r="L12" s="3" t="s">
        <v>18</v>
      </c>
      <c r="M12" s="1"/>
      <c r="N12" s="21"/>
    </row>
    <row r="13" spans="2:14">
      <c r="B13" s="9" t="s">
        <v>19</v>
      </c>
      <c r="C13" s="6" t="s">
        <v>31</v>
      </c>
      <c r="D13" s="2" t="s">
        <v>32</v>
      </c>
      <c r="E13" s="2" t="s">
        <v>33</v>
      </c>
      <c r="F13" s="2" t="s">
        <v>34</v>
      </c>
      <c r="G13" s="44">
        <v>0.38</v>
      </c>
      <c r="H13" s="12">
        <v>0.25800000000000001</v>
      </c>
      <c r="I13" s="12">
        <f>G13-H13</f>
        <v>0.122</v>
      </c>
      <c r="J13" s="39"/>
      <c r="K13" s="12" t="s">
        <v>22</v>
      </c>
      <c r="L13" s="3" t="s">
        <v>18</v>
      </c>
      <c r="M13" s="1" t="inlineStr">
        <is>
          <t>기존값 유지 (10/13 로그에 Box 뚜껑 폐기 없음)</t>
        </is>
      </c>
      <c r="N13" s="21"/>
    </row>
    <row r="14" spans="2:14">
      <c r="B14" s="9" t="s">
        <v>19</v>
      </c>
      <c r="C14" s="9" t="s">
        <v>31</v>
      </c>
      <c r="D14" s="2" t="s">
        <v>35</v>
      </c>
      <c r="E14" s="2" t="s">
        <v>33</v>
      </c>
      <c r="F14" s="2" t="s">
        <v>34</v>
      </c>
      <c r="G14" s="44">
        <v>2.54</v>
      </c>
      <c r="H14" s="12">
        <v>2.13</v>
      </c>
      <c r="I14" s="12">
        <f t="shared" ref="I14:I19" si="0">G14-H14</f>
        <v>0.41</v>
      </c>
      <c r="J14" s="39"/>
      <c r="K14" s="12" t="s">
        <v>22</v>
      </c>
      <c r="L14" s="3" t="s">
        <v>18</v>
      </c>
      <c r="M14" s="1" t="inlineStr">
        <is>
          <t>기존값 유지 (10/13 로그에 Box 뚜껑 폐기 없음)</t>
        </is>
      </c>
      <c r="N14" s="21"/>
    </row>
    <row r="15" spans="2:14">
      <c r="B15" s="9" t="s">
        <v>19</v>
      </c>
      <c r="C15" s="9" t="s">
        <v>31</v>
      </c>
      <c r="D15" s="2" t="s">
        <v>36</v>
      </c>
      <c r="E15" s="2" t="s">
        <v>33</v>
      </c>
      <c r="F15" s="2" t="s">
        <v>34</v>
      </c>
      <c r="G15" s="44">
        <v>4.0</v>
      </c>
      <c r="H15" s="12">
        <v>1.28</v>
      </c>
      <c r="I15" s="37">
        <f t="shared" si="0"/>
        <v>2.72</v>
      </c>
      <c r="J15" s="39"/>
      <c r="K15" s="12" t="s">
        <v>22</v>
      </c>
      <c r="L15" s="3" t="s">
        <v>18</v>
      </c>
      <c r="M15" s="1" t="inlineStr">
        <is>
          <t>기존값 유지 (10/13 로그에 Box 뚜껑 폐기 없음)</t>
        </is>
      </c>
      <c r="N15" s="21"/>
    </row>
    <row r="16" spans="2:14">
      <c r="B16" s="9" t="s">
        <v>19</v>
      </c>
      <c r="C16" s="9" t="s">
        <v>31</v>
      </c>
      <c r="D16" s="2" t="s">
        <v>37</v>
      </c>
      <c r="E16" s="2" t="s">
        <v>33</v>
      </c>
      <c r="F16" s="2" t="s">
        <v>34</v>
      </c>
      <c r="G16" s="44">
        <v>1.67</v>
      </c>
      <c r="H16" s="12">
        <v>0</v>
      </c>
      <c r="I16" s="12">
        <f t="shared" si="0"/>
        <v>1.67</v>
      </c>
      <c r="J16" s="39"/>
      <c r="K16" s="12" t="s">
        <v>22</v>
      </c>
      <c r="L16" s="3" t="s">
        <v>18</v>
      </c>
      <c r="M16" s="1" t="inlineStr">
        <is>
          <t>기존값 유지 (10/13 로그에 Box 뚜껑 폐기 없음)</t>
        </is>
      </c>
      <c r="N16" s="21"/>
    </row>
    <row r="17" spans="2:14">
      <c r="B17" s="9" t="s">
        <v>19</v>
      </c>
      <c r="C17" s="9" t="s">
        <v>31</v>
      </c>
      <c r="D17" s="2" t="s">
        <v>38</v>
      </c>
      <c r="E17" s="2" t="s">
        <v>33</v>
      </c>
      <c r="F17" s="2" t="s">
        <v>34</v>
      </c>
      <c r="G17" s="44">
        <v>5.21</v>
      </c>
      <c r="H17" s="12">
        <v>0</v>
      </c>
      <c r="I17" s="37">
        <f t="shared" si="0"/>
        <v>5.21</v>
      </c>
      <c r="J17" s="39"/>
      <c r="K17" s="12" t="s">
        <v>22</v>
      </c>
      <c r="L17" s="3" t="s">
        <v>18</v>
      </c>
      <c r="M17" s="1" t="inlineStr">
        <is>
          <t>기존값 유지 (10/13 로그에 Box 뚜껑 폐기 없음)</t>
        </is>
      </c>
      <c r="N17" s="21"/>
    </row>
    <row r="18" spans="2:14">
      <c r="B18" s="9" t="s">
        <v>19</v>
      </c>
      <c r="C18" s="9" t="s">
        <v>31</v>
      </c>
      <c r="D18" s="2" t="s">
        <v>34</v>
      </c>
      <c r="E18" s="2" t="s">
        <v>33</v>
      </c>
      <c r="F18" s="2" t="s">
        <v>34</v>
      </c>
      <c r="G18" s="3">
        <v>2</v>
      </c>
      <c r="H18" s="12">
        <v>2.7</v>
      </c>
      <c r="I18" s="12">
        <f t="shared" si="0"/>
        <v>-0.70000000000000018</v>
      </c>
      <c r="J18" s="39"/>
      <c r="K18" s="12" t="s">
        <v>22</v>
      </c>
      <c r="L18" s="3" t="s">
        <v>18</v>
      </c>
      <c r="M18" s="1" t="inlineStr">
        <is>
          <t>기존값 유지 (10/13 로그에 Box 뚜껑 폐기 없음)</t>
        </is>
      </c>
      <c r="N18" s="21"/>
    </row>
    <row r="19" spans="2:14">
      <c r="B19" s="9" t="s">
        <v>19</v>
      </c>
      <c r="C19" s="10" t="s">
        <v>31</v>
      </c>
      <c r="D19" s="2" t="s">
        <v>30</v>
      </c>
      <c r="E19" s="2" t="s">
        <v>33</v>
      </c>
      <c r="F19" s="2" t="s">
        <v>34</v>
      </c>
      <c r="G19" s="44">
        <v>5.21</v>
      </c>
      <c r="H19" s="12">
        <v>2.13</v>
      </c>
      <c r="I19" s="37">
        <f t="shared" si="0"/>
        <v>3.08</v>
      </c>
      <c r="J19" s="39"/>
      <c r="K19" s="12" t="s">
        <v>22</v>
      </c>
      <c r="L19" s="3" t="s">
        <v>18</v>
      </c>
      <c r="M19" s="1" t="inlineStr">
        <is>
          <t>기존값 유지 (10/13 로그에 Box 뚜껑 폐기 없음)</t>
        </is>
      </c>
      <c r="N19" s="21"/>
    </row>
    <row r="20" spans="2:14" hidden="1">
      <c r="B20" s="9" t="s">
        <v>19</v>
      </c>
      <c r="C20" s="6" t="s">
        <v>39</v>
      </c>
      <c r="D20" s="1" t="s">
        <v>40</v>
      </c>
      <c r="E20" s="1" t="s">
        <v>21</v>
      </c>
      <c r="F20" s="1"/>
      <c r="G20" s="3"/>
      <c r="H20" s="12"/>
      <c r="I20" s="12"/>
      <c r="J20" s="12"/>
      <c r="K20" s="12" t="s">
        <v>22</v>
      </c>
      <c r="L20" s="3" t="s">
        <v>18</v>
      </c>
      <c r="M20" s="1"/>
      <c r="N20" s="21"/>
    </row>
    <row r="21" spans="2:14" hidden="1">
      <c r="B21" s="9" t="s">
        <v>19</v>
      </c>
      <c r="C21" s="9" t="s">
        <v>41</v>
      </c>
      <c r="D21" s="1" t="s">
        <v>23</v>
      </c>
      <c r="E21" s="1" t="s">
        <v>21</v>
      </c>
      <c r="F21" s="1"/>
      <c r="G21" s="3"/>
      <c r="H21" s="12"/>
      <c r="I21" s="12"/>
      <c r="J21" s="12"/>
      <c r="K21" s="12" t="s">
        <v>22</v>
      </c>
      <c r="L21" s="3" t="s">
        <v>18</v>
      </c>
      <c r="M21" s="1"/>
      <c r="N21" s="21"/>
    </row>
    <row r="22" spans="2:14" hidden="1">
      <c r="B22" s="9" t="s">
        <v>19</v>
      </c>
      <c r="C22" s="9" t="s">
        <v>41</v>
      </c>
      <c r="D22" s="1" t="s">
        <v>42</v>
      </c>
      <c r="E22" s="1" t="s">
        <v>21</v>
      </c>
      <c r="F22" s="1"/>
      <c r="G22" s="3"/>
      <c r="H22" s="12"/>
      <c r="I22" s="12"/>
      <c r="J22" s="12"/>
      <c r="K22" s="12" t="s">
        <v>22</v>
      </c>
      <c r="L22" s="3" t="s">
        <v>18</v>
      </c>
      <c r="M22" s="1"/>
      <c r="N22" s="21"/>
    </row>
    <row r="23" spans="2:14" hidden="1">
      <c r="B23" s="9" t="s">
        <v>19</v>
      </c>
      <c r="C23" s="9" t="s">
        <v>41</v>
      </c>
      <c r="D23" s="1" t="s">
        <v>25</v>
      </c>
      <c r="E23" s="1" t="s">
        <v>21</v>
      </c>
      <c r="F23" s="1"/>
      <c r="G23" s="3"/>
      <c r="H23" s="12"/>
      <c r="I23" s="12"/>
      <c r="J23" s="12"/>
      <c r="K23" s="12" t="s">
        <v>22</v>
      </c>
      <c r="L23" s="3" t="s">
        <v>18</v>
      </c>
      <c r="M23" s="1"/>
      <c r="N23" s="21"/>
    </row>
    <row r="24" spans="2:14" hidden="1">
      <c r="B24" s="9" t="s">
        <v>19</v>
      </c>
      <c r="C24" s="9" t="s">
        <v>41</v>
      </c>
      <c r="D24" s="2" t="s">
        <v>43</v>
      </c>
      <c r="E24" s="2" t="s">
        <v>21</v>
      </c>
      <c r="F24" s="2"/>
      <c r="G24" s="3"/>
      <c r="H24" s="12"/>
      <c r="I24" s="12"/>
      <c r="J24" s="12"/>
      <c r="K24" s="12" t="s">
        <v>22</v>
      </c>
      <c r="L24" s="3" t="s">
        <v>18</v>
      </c>
      <c r="M24" s="1"/>
      <c r="N24" s="21"/>
    </row>
    <row r="25" spans="2:14" hidden="1">
      <c r="B25" s="9" t="s">
        <v>19</v>
      </c>
      <c r="C25" s="9" t="s">
        <v>41</v>
      </c>
      <c r="D25" s="2" t="s">
        <v>23</v>
      </c>
      <c r="E25" s="2" t="s">
        <v>21</v>
      </c>
      <c r="F25" s="2"/>
      <c r="G25" s="3"/>
      <c r="H25" s="12"/>
      <c r="I25" s="12"/>
      <c r="J25" s="12"/>
      <c r="K25" s="12" t="s">
        <v>22</v>
      </c>
      <c r="L25" s="3" t="s">
        <v>18</v>
      </c>
      <c r="M25" s="1"/>
      <c r="N25" s="21"/>
    </row>
    <row r="26" spans="2:14" hidden="1">
      <c r="B26" s="9" t="s">
        <v>19</v>
      </c>
      <c r="C26" s="9" t="s">
        <v>41</v>
      </c>
      <c r="D26" s="2" t="s">
        <v>44</v>
      </c>
      <c r="E26" s="2" t="s">
        <v>21</v>
      </c>
      <c r="F26" s="2"/>
      <c r="G26" s="3"/>
      <c r="H26" s="12"/>
      <c r="I26" s="12"/>
      <c r="J26" s="12"/>
      <c r="K26" s="12" t="s">
        <v>22</v>
      </c>
      <c r="L26" s="3" t="s">
        <v>18</v>
      </c>
      <c r="M26" s="1"/>
      <c r="N26" s="21"/>
    </row>
    <row r="27" spans="2:14" hidden="1">
      <c r="B27" s="9" t="s">
        <v>19</v>
      </c>
      <c r="C27" s="9" t="s">
        <v>41</v>
      </c>
      <c r="D27" s="2" t="s">
        <v>25</v>
      </c>
      <c r="E27" s="2" t="s">
        <v>21</v>
      </c>
      <c r="F27" s="2"/>
      <c r="G27" s="3"/>
      <c r="H27" s="12"/>
      <c r="I27" s="12"/>
      <c r="J27" s="12"/>
      <c r="K27" s="12" t="s">
        <v>22</v>
      </c>
      <c r="L27" s="3" t="s">
        <v>18</v>
      </c>
      <c r="M27" s="1"/>
      <c r="N27" s="21"/>
    </row>
    <row r="28" spans="2:14" hidden="1">
      <c r="B28" s="9" t="s">
        <v>19</v>
      </c>
      <c r="C28" s="9" t="s">
        <v>41</v>
      </c>
      <c r="D28" s="1" t="s">
        <v>43</v>
      </c>
      <c r="E28" s="1" t="s">
        <v>21</v>
      </c>
      <c r="F28" s="1"/>
      <c r="G28" s="3"/>
      <c r="H28" s="12"/>
      <c r="I28" s="12"/>
      <c r="J28" s="12"/>
      <c r="K28" s="12" t="s">
        <v>22</v>
      </c>
      <c r="L28" s="3" t="s">
        <v>18</v>
      </c>
      <c r="M28" s="1"/>
      <c r="N28" s="21"/>
    </row>
    <row r="29" spans="2:14" hidden="1">
      <c r="B29" s="9" t="s">
        <v>19</v>
      </c>
      <c r="C29" s="9" t="s">
        <v>41</v>
      </c>
      <c r="D29" s="1" t="s">
        <v>23</v>
      </c>
      <c r="E29" s="1" t="s">
        <v>21</v>
      </c>
      <c r="F29" s="1"/>
      <c r="G29" s="3"/>
      <c r="H29" s="12"/>
      <c r="I29" s="12"/>
      <c r="J29" s="12"/>
      <c r="K29" s="12" t="s">
        <v>22</v>
      </c>
      <c r="L29" s="3" t="s">
        <v>18</v>
      </c>
      <c r="M29" s="1"/>
      <c r="N29" s="21"/>
    </row>
    <row r="30" spans="2:14" hidden="1">
      <c r="B30" s="9" t="s">
        <v>19</v>
      </c>
      <c r="C30" s="9" t="s">
        <v>41</v>
      </c>
      <c r="D30" s="1" t="s">
        <v>45</v>
      </c>
      <c r="E30" s="1" t="s">
        <v>21</v>
      </c>
      <c r="F30" s="1"/>
      <c r="G30" s="3"/>
      <c r="H30" s="12"/>
      <c r="I30" s="12"/>
      <c r="J30" s="12"/>
      <c r="K30" s="12" t="s">
        <v>22</v>
      </c>
      <c r="L30" s="3" t="s">
        <v>18</v>
      </c>
      <c r="M30" s="1"/>
      <c r="N30" s="21"/>
    </row>
    <row r="31" spans="2:14" hidden="1">
      <c r="B31" s="9" t="s">
        <v>19</v>
      </c>
      <c r="C31" s="10" t="s">
        <v>41</v>
      </c>
      <c r="D31" s="1" t="s">
        <v>25</v>
      </c>
      <c r="E31" s="1" t="s">
        <v>21</v>
      </c>
      <c r="F31" s="1"/>
      <c r="G31" s="3"/>
      <c r="H31" s="12"/>
      <c r="I31" s="12"/>
      <c r="J31" s="12"/>
      <c r="K31" s="12" t="s">
        <v>22</v>
      </c>
      <c r="L31" s="3" t="s">
        <v>18</v>
      </c>
      <c r="M31" s="1"/>
      <c r="N31" s="21"/>
    </row>
    <row r="32" spans="2:14">
      <c r="B32" s="9" t="s">
        <v>19</v>
      </c>
      <c r="C32" s="6" t="s">
        <v>46</v>
      </c>
      <c r="D32" s="2" t="s">
        <v>44</v>
      </c>
      <c r="E32" s="2" t="s">
        <v>33</v>
      </c>
      <c r="F32" s="2" t="s">
        <v>47</v>
      </c>
      <c r="G32" s="44">
        <v>4.72</v>
      </c>
      <c r="H32" s="12">
        <v>2.13</v>
      </c>
      <c r="I32" s="37">
        <f t="shared" ref="I32:I91" si="1">G32-H32</f>
        <v>2.59</v>
      </c>
      <c r="J32" s="39"/>
      <c r="K32" s="12" t="s">
        <v>22</v>
      </c>
      <c r="L32" s="3" t="s">
        <v>18</v>
      </c>
      <c r="M32" s="1" t="inlineStr">
        <is>
          <t>기존값 유지 (손운전 이동, 미측정)</t>
        </is>
      </c>
      <c r="N32" s="21"/>
    </row>
    <row r="33" spans="2:14">
      <c r="B33" s="9" t="s">
        <v>19</v>
      </c>
      <c r="C33" s="16" t="s">
        <v>46</v>
      </c>
      <c r="D33" s="2" t="s">
        <v>32</v>
      </c>
      <c r="E33" s="2" t="s">
        <v>33</v>
      </c>
      <c r="F33" s="2" t="s">
        <v>47</v>
      </c>
      <c r="G33" s="44">
        <v>0.1</v>
      </c>
      <c r="H33" s="12">
        <v>0.25800000000000001</v>
      </c>
      <c r="I33" s="12">
        <f t="shared" si="1"/>
        <v>-0.158</v>
      </c>
      <c r="J33" s="39"/>
      <c r="K33" s="12" t="s">
        <v>22</v>
      </c>
      <c r="L33" s="3" t="s">
        <v>18</v>
      </c>
      <c r="M33" s="1"/>
      <c r="N33" s="21"/>
    </row>
    <row r="34" spans="2:14">
      <c r="B34" s="9" t="s">
        <v>19</v>
      </c>
      <c r="C34" s="16" t="s">
        <v>46</v>
      </c>
      <c r="D34" s="2" t="s">
        <v>35</v>
      </c>
      <c r="E34" s="2" t="s">
        <v>33</v>
      </c>
      <c r="F34" s="2" t="s">
        <v>47</v>
      </c>
      <c r="G34" s="44">
        <v>1.91</v>
      </c>
      <c r="H34" s="12">
        <v>2.13</v>
      </c>
      <c r="I34" s="12">
        <f t="shared" si="1"/>
        <v>-0.22</v>
      </c>
      <c r="J34" s="39"/>
      <c r="K34" s="12" t="s">
        <v>22</v>
      </c>
      <c r="L34" s="3" t="s">
        <v>18</v>
      </c>
      <c r="M34" s="1"/>
      <c r="N34" s="21"/>
    </row>
    <row r="35" spans="2:14">
      <c r="B35" s="9" t="s">
        <v>19</v>
      </c>
      <c r="C35" s="16" t="s">
        <v>46</v>
      </c>
      <c r="D35" s="2" t="s">
        <v>48</v>
      </c>
      <c r="E35" s="2" t="s">
        <v>33</v>
      </c>
      <c r="F35" s="2" t="s">
        <v>47</v>
      </c>
      <c r="G35" s="44">
        <v>2.82</v>
      </c>
      <c r="H35" s="12">
        <v>1.28</v>
      </c>
      <c r="I35" s="12">
        <f t="shared" si="1"/>
        <v>1.54</v>
      </c>
      <c r="J35" s="39"/>
      <c r="K35" s="12" t="s">
        <v>22</v>
      </c>
      <c r="L35" s="3" t="s">
        <v>18</v>
      </c>
      <c r="M35" s="1"/>
      <c r="N35" s="21"/>
    </row>
    <row r="36" spans="2:14">
      <c r="B36" s="9" t="s">
        <v>19</v>
      </c>
      <c r="C36" s="16" t="s">
        <v>46</v>
      </c>
      <c r="D36" s="2" t="s">
        <v>37</v>
      </c>
      <c r="E36" s="2" t="s">
        <v>33</v>
      </c>
      <c r="F36" s="2" t="s">
        <v>47</v>
      </c>
      <c r="G36" s="44">
        <v>3.22</v>
      </c>
      <c r="H36" s="12">
        <v>0</v>
      </c>
      <c r="I36" s="12">
        <f t="shared" si="1"/>
        <v>3.22</v>
      </c>
      <c r="J36" s="39"/>
      <c r="K36" s="12" t="s">
        <v>22</v>
      </c>
      <c r="L36" s="3" t="s">
        <v>18</v>
      </c>
      <c r="M36" s="1"/>
      <c r="N36" s="21"/>
    </row>
    <row r="37" spans="2:14">
      <c r="B37" s="9" t="s">
        <v>19</v>
      </c>
      <c r="C37" s="16" t="s">
        <v>46</v>
      </c>
      <c r="D37" s="2" t="s">
        <v>49</v>
      </c>
      <c r="E37" s="2" t="s">
        <v>33</v>
      </c>
      <c r="F37" s="2" t="s">
        <v>47</v>
      </c>
      <c r="G37" s="44">
        <v>3.29</v>
      </c>
      <c r="H37" s="12">
        <v>2.7</v>
      </c>
      <c r="I37" s="37">
        <f t="shared" si="1"/>
        <v>0.59</v>
      </c>
      <c r="J37" s="39"/>
      <c r="K37" s="12" t="s">
        <v>22</v>
      </c>
      <c r="L37" s="3" t="s">
        <v>18</v>
      </c>
      <c r="M37" s="1"/>
      <c r="N37" s="21"/>
    </row>
    <row r="38" spans="2:14">
      <c r="B38" s="9" t="s">
        <v>19</v>
      </c>
      <c r="C38" s="17" t="s">
        <v>46</v>
      </c>
      <c r="D38" s="2" t="s">
        <v>50</v>
      </c>
      <c r="E38" s="2" t="s">
        <v>33</v>
      </c>
      <c r="F38" s="2" t="s">
        <v>47</v>
      </c>
      <c r="G38" s="44">
        <v>11.42</v>
      </c>
      <c r="H38" s="12">
        <v>1.28</v>
      </c>
      <c r="I38" s="37">
        <f t="shared" si="1"/>
        <v>10.14</v>
      </c>
      <c r="J38" s="39"/>
      <c r="K38" s="12" t="s">
        <v>22</v>
      </c>
      <c r="L38" s="3" t="s">
        <v>18</v>
      </c>
      <c r="M38" s="1"/>
      <c r="N38" s="21"/>
    </row>
    <row r="39" spans="2:14">
      <c r="B39" s="9" t="s">
        <v>19</v>
      </c>
      <c r="C39" s="6" t="s">
        <v>51</v>
      </c>
      <c r="D39" s="1" t="s">
        <v>42</v>
      </c>
      <c r="E39" s="1" t="s">
        <v>33</v>
      </c>
      <c r="F39" s="1" t="s">
        <v>52</v>
      </c>
      <c r="G39" s="44">
        <v>3.59</v>
      </c>
      <c r="H39" s="12">
        <v>2.13</v>
      </c>
      <c r="I39" s="12">
        <f t="shared" si="1"/>
        <v>1.46</v>
      </c>
      <c r="J39" s="39"/>
      <c r="K39" s="12" t="s">
        <v>22</v>
      </c>
      <c r="L39" s="3" t="s">
        <v>18</v>
      </c>
      <c r="M39" s="1"/>
      <c r="N39" s="21"/>
    </row>
    <row r="40" spans="2:14">
      <c r="B40" s="9" t="s">
        <v>19</v>
      </c>
      <c r="C40" s="16" t="s">
        <v>53</v>
      </c>
      <c r="D40" s="1" t="s">
        <v>54</v>
      </c>
      <c r="E40" s="1" t="s">
        <v>33</v>
      </c>
      <c r="F40" s="1" t="s">
        <v>52</v>
      </c>
      <c r="G40" s="44">
        <v>0.26</v>
      </c>
      <c r="H40" s="12">
        <v>0.25800000000000001</v>
      </c>
      <c r="I40" s="12">
        <f t="shared" si="1"/>
        <v>0.002</v>
      </c>
      <c r="J40" s="39"/>
      <c r="K40" s="12" t="s">
        <v>22</v>
      </c>
      <c r="L40" s="3" t="s">
        <v>18</v>
      </c>
      <c r="M40" s="1"/>
      <c r="N40" s="21"/>
    </row>
    <row r="41" spans="2:14">
      <c r="B41" s="9" t="s">
        <v>19</v>
      </c>
      <c r="C41" s="16" t="s">
        <v>53</v>
      </c>
      <c r="D41" s="1" t="s">
        <v>35</v>
      </c>
      <c r="E41" s="1" t="s">
        <v>33</v>
      </c>
      <c r="F41" s="1" t="s">
        <v>52</v>
      </c>
      <c r="G41" s="44">
        <v>3.02</v>
      </c>
      <c r="H41" s="12">
        <v>2.13</v>
      </c>
      <c r="I41" s="12">
        <f t="shared" si="1"/>
        <v>0.89</v>
      </c>
      <c r="J41" s="39"/>
      <c r="K41" s="12" t="s">
        <v>22</v>
      </c>
      <c r="L41" s="3" t="s">
        <v>18</v>
      </c>
      <c r="M41" s="1"/>
      <c r="N41" s="21"/>
    </row>
    <row r="42" spans="2:14">
      <c r="B42" s="9" t="s">
        <v>19</v>
      </c>
      <c r="C42" s="16" t="s">
        <v>53</v>
      </c>
      <c r="D42" s="1" t="s">
        <v>55</v>
      </c>
      <c r="E42" s="1" t="s">
        <v>33</v>
      </c>
      <c r="F42" s="1" t="s">
        <v>52</v>
      </c>
      <c r="G42" s="44">
        <v>2.13</v>
      </c>
      <c r="H42" s="12">
        <v>1.28</v>
      </c>
      <c r="I42" s="12">
        <f t="shared" si="1"/>
        <v>0.85</v>
      </c>
      <c r="J42" s="39"/>
      <c r="K42" s="12" t="s">
        <v>22</v>
      </c>
      <c r="L42" s="3" t="s">
        <v>18</v>
      </c>
      <c r="M42" s="1"/>
      <c r="N42" s="21"/>
    </row>
    <row r="43" spans="2:14">
      <c r="B43" s="9" t="s">
        <v>19</v>
      </c>
      <c r="C43" s="16" t="s">
        <v>53</v>
      </c>
      <c r="D43" s="1" t="s">
        <v>37</v>
      </c>
      <c r="E43" s="1" t="s">
        <v>33</v>
      </c>
      <c r="F43" s="1" t="s">
        <v>52</v>
      </c>
      <c r="G43" s="44">
        <v>2.19</v>
      </c>
      <c r="H43" s="12">
        <v>0</v>
      </c>
      <c r="I43" s="12">
        <f t="shared" si="1"/>
        <v>2.19</v>
      </c>
      <c r="J43" s="39"/>
      <c r="K43" s="12" t="s">
        <v>22</v>
      </c>
      <c r="L43" s="3" t="s">
        <v>18</v>
      </c>
      <c r="M43" s="1"/>
      <c r="N43" s="21"/>
    </row>
    <row r="44" spans="2:14">
      <c r="B44" s="9" t="s">
        <v>19</v>
      </c>
      <c r="C44" s="16" t="s">
        <v>53</v>
      </c>
      <c r="D44" s="1" t="s">
        <v>56</v>
      </c>
      <c r="E44" s="1" t="s">
        <v>33</v>
      </c>
      <c r="F44" s="1" t="s">
        <v>52</v>
      </c>
      <c r="G44" s="44">
        <v>3.6</v>
      </c>
      <c r="H44" s="12">
        <v>2.7</v>
      </c>
      <c r="I44" s="12">
        <f t="shared" si="1"/>
        <v>0.9</v>
      </c>
      <c r="J44" s="39"/>
      <c r="K44" s="12" t="s">
        <v>22</v>
      </c>
      <c r="L44" s="3" t="s">
        <v>18</v>
      </c>
      <c r="M44" s="1"/>
      <c r="N44" s="21"/>
    </row>
    <row r="45" spans="2:14">
      <c r="B45" s="9"/>
      <c r="C45" s="16" t="s">
        <v>53</v>
      </c>
      <c r="D45" s="1" t="s">
        <v>54</v>
      </c>
      <c r="E45" s="1" t="s">
        <v>33</v>
      </c>
      <c r="F45" s="1" t="s">
        <v>52</v>
      </c>
      <c r="G45" s="44">
        <v>0.38</v>
      </c>
      <c r="H45" s="12">
        <v>0.25800000000000001</v>
      </c>
      <c r="I45" s="12">
        <f t="shared" si="1"/>
        <v>0.122</v>
      </c>
      <c r="J45" s="39"/>
      <c r="K45" s="12" t="s">
        <v>22</v>
      </c>
      <c r="L45" s="3" t="s">
        <v>18</v>
      </c>
      <c r="M45" s="1"/>
      <c r="N45" s="21"/>
    </row>
    <row r="46" spans="2:14">
      <c r="B46" s="9" t="s">
        <v>19</v>
      </c>
      <c r="C46" s="16" t="s">
        <v>53</v>
      </c>
      <c r="D46" s="1" t="s">
        <v>35</v>
      </c>
      <c r="E46" s="1" t="s">
        <v>33</v>
      </c>
      <c r="F46" s="1" t="s">
        <v>52</v>
      </c>
      <c r="G46" s="44">
        <v>1.47</v>
      </c>
      <c r="H46" s="12">
        <v>2.13</v>
      </c>
      <c r="I46" s="12">
        <f t="shared" si="1"/>
        <v>-0.66</v>
      </c>
      <c r="J46" s="39"/>
      <c r="K46" s="12" t="s">
        <v>22</v>
      </c>
      <c r="L46" s="3" t="s">
        <v>18</v>
      </c>
      <c r="M46" s="1"/>
      <c r="N46" s="21"/>
    </row>
    <row r="47" spans="2:14">
      <c r="B47" s="9" t="s">
        <v>19</v>
      </c>
      <c r="C47" s="16" t="s">
        <v>53</v>
      </c>
      <c r="D47" s="1" t="s">
        <v>57</v>
      </c>
      <c r="E47" s="1" t="s">
        <v>33</v>
      </c>
      <c r="F47" s="1" t="s">
        <v>52</v>
      </c>
      <c r="G47" s="44">
        <v>2.22</v>
      </c>
      <c r="H47" s="12">
        <v>1.28</v>
      </c>
      <c r="I47" s="12">
        <f t="shared" si="1"/>
        <v>0.94</v>
      </c>
      <c r="J47" s="39"/>
      <c r="K47" s="12" t="s">
        <v>22</v>
      </c>
      <c r="L47" s="3" t="s">
        <v>18</v>
      </c>
      <c r="M47" s="1"/>
      <c r="N47" s="21"/>
    </row>
    <row r="48" spans="2:14">
      <c r="B48" s="9" t="s">
        <v>19</v>
      </c>
      <c r="C48" s="17" t="s">
        <v>53</v>
      </c>
      <c r="D48" s="1" t="s">
        <v>37</v>
      </c>
      <c r="E48" s="1" t="s">
        <v>33</v>
      </c>
      <c r="F48" s="1" t="s">
        <v>52</v>
      </c>
      <c r="G48" s="44">
        <v>2.8</v>
      </c>
      <c r="H48" s="12">
        <v>0</v>
      </c>
      <c r="I48" s="12">
        <f t="shared" si="1"/>
        <v>2.8</v>
      </c>
      <c r="J48" s="39"/>
      <c r="K48" s="12" t="s">
        <v>22</v>
      </c>
      <c r="L48" s="3" t="s">
        <v>18</v>
      </c>
      <c r="M48" s="1"/>
      <c r="N48" s="21"/>
    </row>
    <row r="49" spans="2:14">
      <c r="B49" s="9" t="s">
        <v>19</v>
      </c>
      <c r="C49" s="6" t="s">
        <v>58</v>
      </c>
      <c r="D49" s="2" t="s">
        <v>30</v>
      </c>
      <c r="E49" s="2" t="s">
        <v>33</v>
      </c>
      <c r="F49" s="2" t="s">
        <v>59</v>
      </c>
      <c r="G49" s="44">
        <v>3.55</v>
      </c>
      <c r="H49" s="36">
        <v>2.13</v>
      </c>
      <c r="I49" s="12">
        <f t="shared" si="1"/>
        <v>1.42</v>
      </c>
      <c r="J49" s="40"/>
      <c r="K49" s="12" t="s">
        <v>22</v>
      </c>
      <c r="L49" s="3" t="s">
        <v>18</v>
      </c>
      <c r="M49" s="1"/>
      <c r="N49" s="21"/>
    </row>
    <row r="50" spans="2:14">
      <c r="B50" s="9" t="s">
        <v>19</v>
      </c>
      <c r="C50" s="9" t="s">
        <v>60</v>
      </c>
      <c r="D50" s="2" t="s">
        <v>54</v>
      </c>
      <c r="E50" s="2" t="s">
        <v>33</v>
      </c>
      <c r="F50" s="2" t="s">
        <v>59</v>
      </c>
      <c r="G50" s="44">
        <v>0.24</v>
      </c>
      <c r="H50" s="36">
        <v>0.25800000000000001</v>
      </c>
      <c r="I50" s="12">
        <f t="shared" si="1"/>
        <v>-0.018</v>
      </c>
      <c r="J50" s="40"/>
      <c r="K50" s="12" t="s">
        <v>22</v>
      </c>
      <c r="L50" s="3" t="s">
        <v>18</v>
      </c>
      <c r="M50" s="1"/>
      <c r="N50" s="21"/>
    </row>
    <row r="51" spans="2:14">
      <c r="B51" s="9" t="s">
        <v>19</v>
      </c>
      <c r="C51" s="9" t="s">
        <v>60</v>
      </c>
      <c r="D51" s="2" t="s">
        <v>35</v>
      </c>
      <c r="E51" s="2" t="s">
        <v>33</v>
      </c>
      <c r="F51" s="2" t="s">
        <v>59</v>
      </c>
      <c r="G51" s="44">
        <v>1.49</v>
      </c>
      <c r="H51" s="36">
        <v>2.13</v>
      </c>
      <c r="I51" s="12">
        <f t="shared" si="1"/>
        <v>-0.64</v>
      </c>
      <c r="J51" s="40"/>
      <c r="K51" s="12" t="s">
        <v>22</v>
      </c>
      <c r="L51" s="3" t="s">
        <v>18</v>
      </c>
      <c r="M51" s="1"/>
      <c r="N51" s="21"/>
    </row>
    <row r="52" spans="2:14">
      <c r="B52" s="9" t="s">
        <v>19</v>
      </c>
      <c r="C52" s="9" t="s">
        <v>60</v>
      </c>
      <c r="D52" s="2" t="s">
        <v>61</v>
      </c>
      <c r="E52" s="2" t="s">
        <v>33</v>
      </c>
      <c r="F52" s="2" t="s">
        <v>59</v>
      </c>
      <c r="G52" s="44">
        <v>3.25</v>
      </c>
      <c r="H52" s="36">
        <v>4.12</v>
      </c>
      <c r="I52" s="12">
        <f t="shared" si="1"/>
        <v>-0.87</v>
      </c>
      <c r="J52" s="40"/>
      <c r="K52" s="12" t="s">
        <v>22</v>
      </c>
      <c r="L52" s="3" t="s">
        <v>18</v>
      </c>
      <c r="M52" s="1"/>
      <c r="N52" s="21"/>
    </row>
    <row r="53" spans="2:14">
      <c r="B53" s="9" t="s">
        <v>19</v>
      </c>
      <c r="C53" s="9" t="s">
        <v>60</v>
      </c>
      <c r="D53" s="2" t="s">
        <v>37</v>
      </c>
      <c r="E53" s="2" t="s">
        <v>33</v>
      </c>
      <c r="F53" s="2" t="s">
        <v>59</v>
      </c>
      <c r="G53" s="44">
        <v>1.67</v>
      </c>
      <c r="H53" s="36">
        <v>0</v>
      </c>
      <c r="I53" s="12">
        <f t="shared" si="1"/>
        <v>1.67</v>
      </c>
      <c r="J53" s="40"/>
      <c r="K53" s="12" t="s">
        <v>22</v>
      </c>
      <c r="L53" s="3" t="s">
        <v>18</v>
      </c>
      <c r="M53" s="1"/>
      <c r="N53" s="21"/>
    </row>
    <row r="54" spans="2:14">
      <c r="B54" s="9" t="s">
        <v>19</v>
      </c>
      <c r="C54" s="9" t="s">
        <v>60</v>
      </c>
      <c r="D54" s="2" t="s">
        <v>62</v>
      </c>
      <c r="E54" s="2" t="s">
        <v>33</v>
      </c>
      <c r="F54" s="2" t="s">
        <v>59</v>
      </c>
      <c r="G54" s="44">
        <v>3.71</v>
      </c>
      <c r="H54" s="36">
        <v>2.13</v>
      </c>
      <c r="I54" s="12">
        <f t="shared" si="1"/>
        <v>1.58</v>
      </c>
      <c r="J54" s="40"/>
      <c r="K54" s="12" t="s">
        <v>22</v>
      </c>
      <c r="L54" s="3" t="s">
        <v>18</v>
      </c>
      <c r="M54" s="1"/>
      <c r="N54" s="21"/>
    </row>
    <row r="55" spans="2:14">
      <c r="B55" s="9" t="s">
        <v>19</v>
      </c>
      <c r="C55" s="9" t="s">
        <v>60</v>
      </c>
      <c r="D55" s="2" t="s">
        <v>35</v>
      </c>
      <c r="E55" s="2" t="s">
        <v>33</v>
      </c>
      <c r="F55" s="2" t="s">
        <v>59</v>
      </c>
      <c r="G55" s="44">
        <v>1.93</v>
      </c>
      <c r="H55" s="36">
        <v>2.13</v>
      </c>
      <c r="I55" s="12">
        <f t="shared" si="1"/>
        <v>-0.2</v>
      </c>
      <c r="J55" s="40"/>
      <c r="K55" s="12" t="s">
        <v>22</v>
      </c>
      <c r="L55" s="3" t="s">
        <v>18</v>
      </c>
      <c r="M55" s="1"/>
      <c r="N55" s="21"/>
    </row>
    <row r="56" spans="2:14">
      <c r="B56" s="9" t="s">
        <v>19</v>
      </c>
      <c r="C56" s="9" t="s">
        <v>60</v>
      </c>
      <c r="D56" s="2" t="s">
        <v>63</v>
      </c>
      <c r="E56" s="2" t="s">
        <v>33</v>
      </c>
      <c r="F56" s="2" t="s">
        <v>59</v>
      </c>
      <c r="G56" s="44">
        <v>1.56</v>
      </c>
      <c r="H56" s="36">
        <v>1.28</v>
      </c>
      <c r="I56" s="12">
        <f t="shared" si="1"/>
        <v>0.28</v>
      </c>
      <c r="J56" s="40"/>
      <c r="K56" s="12" t="s">
        <v>22</v>
      </c>
      <c r="L56" s="3" t="s">
        <v>18</v>
      </c>
      <c r="M56" s="1"/>
      <c r="N56" s="21"/>
    </row>
    <row r="57" spans="2:14">
      <c r="B57" s="9" t="s">
        <v>19</v>
      </c>
      <c r="C57" s="9" t="s">
        <v>60</v>
      </c>
      <c r="D57" s="2" t="s">
        <v>37</v>
      </c>
      <c r="E57" s="2" t="s">
        <v>33</v>
      </c>
      <c r="F57" s="2" t="s">
        <v>59</v>
      </c>
      <c r="G57" s="44">
        <v>3.12</v>
      </c>
      <c r="H57" s="36">
        <v>0</v>
      </c>
      <c r="I57" s="37">
        <f t="shared" si="1"/>
        <v>3.12</v>
      </c>
      <c r="J57" s="40"/>
      <c r="K57" s="12" t="s">
        <v>22</v>
      </c>
      <c r="L57" s="3" t="s">
        <v>18</v>
      </c>
      <c r="M57" s="1"/>
      <c r="N57" s="21"/>
    </row>
    <row r="58" spans="2:14">
      <c r="B58" s="9" t="s">
        <v>19</v>
      </c>
      <c r="C58" s="6" t="s">
        <v>64</v>
      </c>
      <c r="D58" s="18" t="s">
        <v>30</v>
      </c>
      <c r="E58" s="18" t="s">
        <v>33</v>
      </c>
      <c r="F58" s="18" t="s">
        <v>65</v>
      </c>
      <c r="G58" s="44">
        <v>3.68</v>
      </c>
      <c r="H58" s="12">
        <v>2.13</v>
      </c>
      <c r="I58" s="12">
        <f t="shared" si="1"/>
        <v>1.55</v>
      </c>
      <c r="J58" s="39"/>
      <c r="K58" s="12" t="s">
        <v>22</v>
      </c>
      <c r="L58" s="3" t="s">
        <v>18</v>
      </c>
      <c r="M58" s="1"/>
      <c r="N58" s="21"/>
    </row>
    <row r="59" spans="2:14">
      <c r="B59" s="9" t="s">
        <v>19</v>
      </c>
      <c r="C59" s="9" t="s">
        <v>66</v>
      </c>
      <c r="D59" s="18" t="s">
        <v>54</v>
      </c>
      <c r="E59" s="18" t="s">
        <v>33</v>
      </c>
      <c r="F59" s="18" t="s">
        <v>65</v>
      </c>
      <c r="G59" s="44">
        <v>0.22</v>
      </c>
      <c r="H59" s="12">
        <v>0.25800000000000001</v>
      </c>
      <c r="I59" s="12">
        <f t="shared" si="1"/>
        <v>-0.038</v>
      </c>
      <c r="J59" s="39"/>
      <c r="K59" s="12" t="s">
        <v>22</v>
      </c>
      <c r="L59" s="3" t="s">
        <v>18</v>
      </c>
      <c r="M59" s="1"/>
      <c r="N59" s="21"/>
    </row>
    <row r="60" spans="2:14">
      <c r="B60" s="9" t="s">
        <v>19</v>
      </c>
      <c r="C60" s="9" t="s">
        <v>66</v>
      </c>
      <c r="D60" s="18" t="s">
        <v>35</v>
      </c>
      <c r="E60" s="18" t="s">
        <v>33</v>
      </c>
      <c r="F60" s="18" t="s">
        <v>65</v>
      </c>
      <c r="G60" s="44">
        <v>1.49</v>
      </c>
      <c r="H60" s="12">
        <v>2.13</v>
      </c>
      <c r="I60" s="12">
        <f t="shared" si="1"/>
        <v>-0.64</v>
      </c>
      <c r="J60" s="39"/>
      <c r="K60" s="12" t="s">
        <v>22</v>
      </c>
      <c r="L60" s="3" t="s">
        <v>18</v>
      </c>
      <c r="M60" s="1"/>
      <c r="N60" s="21"/>
    </row>
    <row r="61" spans="2:14">
      <c r="B61" s="9" t="s">
        <v>19</v>
      </c>
      <c r="C61" s="9" t="s">
        <v>66</v>
      </c>
      <c r="D61" s="18" t="s">
        <v>61</v>
      </c>
      <c r="E61" s="18" t="s">
        <v>33</v>
      </c>
      <c r="F61" s="18" t="s">
        <v>65</v>
      </c>
      <c r="G61" s="44">
        <v>3.22</v>
      </c>
      <c r="H61" s="12">
        <v>4.12</v>
      </c>
      <c r="I61" s="12">
        <f t="shared" si="1"/>
        <v>-0.9</v>
      </c>
      <c r="J61" s="39"/>
      <c r="K61" s="12" t="s">
        <v>22</v>
      </c>
      <c r="L61" s="3" t="s">
        <v>18</v>
      </c>
      <c r="M61" s="1"/>
      <c r="N61" s="21"/>
    </row>
    <row r="62" spans="2:14">
      <c r="B62" s="9" t="s">
        <v>19</v>
      </c>
      <c r="C62" s="9" t="s">
        <v>66</v>
      </c>
      <c r="D62" s="18" t="s">
        <v>37</v>
      </c>
      <c r="E62" s="18" t="s">
        <v>33</v>
      </c>
      <c r="F62" s="18" t="s">
        <v>65</v>
      </c>
      <c r="G62" s="44">
        <v>1.49</v>
      </c>
      <c r="H62" s="12">
        <v>0</v>
      </c>
      <c r="I62" s="12">
        <f t="shared" si="1"/>
        <v>1.49</v>
      </c>
      <c r="J62" s="39"/>
      <c r="K62" s="12" t="s">
        <v>22</v>
      </c>
      <c r="L62" s="3" t="s">
        <v>18</v>
      </c>
      <c r="M62" s="1"/>
      <c r="N62" s="21"/>
    </row>
    <row r="63" spans="2:14">
      <c r="B63" s="9" t="s">
        <v>19</v>
      </c>
      <c r="C63" s="9" t="s">
        <v>66</v>
      </c>
      <c r="D63" s="18" t="s">
        <v>67</v>
      </c>
      <c r="E63" s="18" t="s">
        <v>33</v>
      </c>
      <c r="F63" s="18" t="s">
        <v>65</v>
      </c>
      <c r="G63" s="44">
        <v>4.05</v>
      </c>
      <c r="H63" s="12">
        <v>2.13</v>
      </c>
      <c r="I63" s="12">
        <f t="shared" si="1"/>
        <v>1.92</v>
      </c>
      <c r="J63" s="39"/>
      <c r="K63" s="12" t="s">
        <v>22</v>
      </c>
      <c r="L63" s="3" t="s">
        <v>18</v>
      </c>
      <c r="M63" s="1"/>
      <c r="N63" s="21"/>
    </row>
    <row r="64" spans="2:14">
      <c r="B64" s="9" t="s">
        <v>19</v>
      </c>
      <c r="C64" s="9" t="s">
        <v>66</v>
      </c>
      <c r="D64" s="18" t="s">
        <v>35</v>
      </c>
      <c r="E64" s="18" t="s">
        <v>33</v>
      </c>
      <c r="F64" s="18" t="s">
        <v>65</v>
      </c>
      <c r="G64" s="44">
        <v>2.17</v>
      </c>
      <c r="H64" s="12">
        <v>2.13</v>
      </c>
      <c r="I64" s="12">
        <f t="shared" si="1"/>
        <v>0.04</v>
      </c>
      <c r="J64" s="39"/>
      <c r="K64" s="12" t="s">
        <v>22</v>
      </c>
      <c r="L64" s="3" t="s">
        <v>18</v>
      </c>
      <c r="M64" s="1"/>
      <c r="N64" s="21"/>
    </row>
    <row r="65" spans="2:14">
      <c r="B65" s="9" t="s">
        <v>19</v>
      </c>
      <c r="C65" s="9" t="s">
        <v>66</v>
      </c>
      <c r="D65" s="18" t="s">
        <v>63</v>
      </c>
      <c r="E65" s="18" t="s">
        <v>33</v>
      </c>
      <c r="F65" s="18" t="s">
        <v>65</v>
      </c>
      <c r="G65" s="44">
        <v>1.56</v>
      </c>
      <c r="H65" s="12">
        <v>1.28</v>
      </c>
      <c r="I65" s="12">
        <f t="shared" si="1"/>
        <v>0.28</v>
      </c>
      <c r="J65" s="39"/>
      <c r="K65" s="12" t="s">
        <v>22</v>
      </c>
      <c r="L65" s="3" t="s">
        <v>18</v>
      </c>
      <c r="M65" s="1"/>
      <c r="N65" s="21"/>
    </row>
    <row r="66" spans="2:14">
      <c r="B66" s="9" t="s">
        <v>19</v>
      </c>
      <c r="C66" s="9" t="s">
        <v>66</v>
      </c>
      <c r="D66" s="18" t="s">
        <v>37</v>
      </c>
      <c r="E66" s="18" t="s">
        <v>33</v>
      </c>
      <c r="F66" s="18" t="s">
        <v>65</v>
      </c>
      <c r="G66" s="44">
        <v>2.91</v>
      </c>
      <c r="H66" s="12">
        <v>0</v>
      </c>
      <c r="I66" s="12">
        <f t="shared" si="1"/>
        <v>2.91</v>
      </c>
      <c r="J66" s="39"/>
      <c r="K66" s="12" t="s">
        <v>22</v>
      </c>
      <c r="L66" s="3" t="s">
        <v>18</v>
      </c>
      <c r="M66" s="1"/>
      <c r="N66" s="21"/>
    </row>
    <row r="67" spans="2:14">
      <c r="B67" s="9" t="s">
        <v>19</v>
      </c>
      <c r="C67" s="6" t="s">
        <v>68</v>
      </c>
      <c r="D67" s="2" t="s">
        <v>30</v>
      </c>
      <c r="E67" s="2" t="s">
        <v>33</v>
      </c>
      <c r="F67" s="2" t="s">
        <v>68</v>
      </c>
      <c r="G67" s="44">
        <v>3.25</v>
      </c>
      <c r="H67" s="12">
        <v>2.13</v>
      </c>
      <c r="I67" s="12">
        <f t="shared" si="1"/>
        <v>1.12</v>
      </c>
      <c r="J67" s="39"/>
      <c r="K67" s="12" t="s">
        <v>22</v>
      </c>
      <c r="L67" s="3" t="s">
        <v>18</v>
      </c>
      <c r="M67" s="1"/>
      <c r="N67" s="21"/>
    </row>
    <row r="68" spans="2:14">
      <c r="B68" s="9" t="s">
        <v>19</v>
      </c>
      <c r="C68" s="9" t="s">
        <v>69</v>
      </c>
      <c r="D68" s="2" t="s">
        <v>54</v>
      </c>
      <c r="E68" s="2" t="s">
        <v>33</v>
      </c>
      <c r="F68" s="2" t="s">
        <v>68</v>
      </c>
      <c r="G68" s="44">
        <v>0.66</v>
      </c>
      <c r="H68" s="12">
        <v>0.25800000000000001</v>
      </c>
      <c r="I68" s="12">
        <f t="shared" si="1"/>
        <v>0.402</v>
      </c>
      <c r="J68" s="39"/>
      <c r="K68" s="12" t="s">
        <v>22</v>
      </c>
      <c r="L68" s="3" t="s">
        <v>18</v>
      </c>
      <c r="M68" s="1"/>
      <c r="N68" s="21"/>
    </row>
    <row r="69" spans="2:14">
      <c r="B69" s="9" t="s">
        <v>19</v>
      </c>
      <c r="C69" s="9" t="s">
        <v>69</v>
      </c>
      <c r="D69" s="2" t="s">
        <v>35</v>
      </c>
      <c r="E69" s="2" t="s">
        <v>33</v>
      </c>
      <c r="F69" s="2" t="s">
        <v>68</v>
      </c>
      <c r="G69" s="44">
        <v>2.99</v>
      </c>
      <c r="H69" s="12">
        <v>2.13</v>
      </c>
      <c r="I69" s="12">
        <f t="shared" si="1"/>
        <v>0.86</v>
      </c>
      <c r="J69" s="39"/>
      <c r="K69" s="12" t="s">
        <v>22</v>
      </c>
      <c r="L69" s="3" t="s">
        <v>18</v>
      </c>
      <c r="M69" s="1"/>
      <c r="N69" s="21"/>
    </row>
    <row r="70" spans="2:14">
      <c r="B70" s="9" t="s">
        <v>19</v>
      </c>
      <c r="C70" s="9" t="s">
        <v>69</v>
      </c>
      <c r="D70" s="2" t="s">
        <v>70</v>
      </c>
      <c r="E70" s="2" t="s">
        <v>33</v>
      </c>
      <c r="F70" s="2" t="s">
        <v>68</v>
      </c>
      <c r="G70" s="44">
        <v>2.13</v>
      </c>
      <c r="H70" s="12">
        <v>1.28</v>
      </c>
      <c r="I70" s="12">
        <f t="shared" si="1"/>
        <v>0.85</v>
      </c>
      <c r="J70" s="39"/>
      <c r="K70" s="12" t="s">
        <v>22</v>
      </c>
      <c r="L70" s="3" t="s">
        <v>18</v>
      </c>
      <c r="M70" s="1"/>
      <c r="N70" s="21"/>
    </row>
    <row r="71" spans="2:14">
      <c r="B71" s="9" t="s">
        <v>19</v>
      </c>
      <c r="C71" s="9" t="s">
        <v>69</v>
      </c>
      <c r="D71" s="2" t="s">
        <v>37</v>
      </c>
      <c r="E71" s="2" t="s">
        <v>33</v>
      </c>
      <c r="F71" s="2" t="s">
        <v>68</v>
      </c>
      <c r="G71" s="44">
        <v>2.06</v>
      </c>
      <c r="H71" s="12">
        <v>0</v>
      </c>
      <c r="I71" s="12">
        <f t="shared" si="1"/>
        <v>2.06</v>
      </c>
      <c r="J71" s="39"/>
      <c r="K71" s="12" t="s">
        <v>22</v>
      </c>
      <c r="L71" s="3" t="s">
        <v>18</v>
      </c>
      <c r="M71" s="1"/>
      <c r="N71" s="21"/>
    </row>
    <row r="72" spans="2:14">
      <c r="B72" s="9"/>
      <c r="C72" s="9" t="s">
        <v>69</v>
      </c>
      <c r="D72" s="2" t="s">
        <v>67</v>
      </c>
      <c r="E72" s="2" t="s">
        <v>33</v>
      </c>
      <c r="F72" s="2" t="s">
        <v>68</v>
      </c>
      <c r="G72" s="44">
        <v>3.74</v>
      </c>
      <c r="H72" s="12">
        <v>2.13</v>
      </c>
      <c r="I72" s="12">
        <f t="shared" si="1"/>
        <v>1.61</v>
      </c>
      <c r="J72" s="39"/>
      <c r="K72" s="12" t="s">
        <v>22</v>
      </c>
      <c r="L72" s="3" t="s">
        <v>18</v>
      </c>
      <c r="M72" s="1"/>
      <c r="N72" s="21"/>
    </row>
    <row r="73" spans="2:14">
      <c r="B73" s="9"/>
      <c r="C73" s="9" t="s">
        <v>69</v>
      </c>
      <c r="D73" s="2" t="s">
        <v>35</v>
      </c>
      <c r="E73" s="2" t="s">
        <v>33</v>
      </c>
      <c r="F73" s="2" t="s">
        <v>68</v>
      </c>
      <c r="G73" s="44">
        <v>1.57</v>
      </c>
      <c r="H73" s="12">
        <v>2.13</v>
      </c>
      <c r="I73" s="12">
        <f t="shared" si="1"/>
        <v>-0.56</v>
      </c>
      <c r="J73" s="39"/>
      <c r="K73" s="12" t="s">
        <v>22</v>
      </c>
      <c r="L73" s="3" t="s">
        <v>18</v>
      </c>
      <c r="M73" s="1"/>
      <c r="N73" s="21"/>
    </row>
    <row r="74" spans="2:14">
      <c r="B74" s="9"/>
      <c r="C74" s="9" t="s">
        <v>69</v>
      </c>
      <c r="D74" s="2" t="s">
        <v>63</v>
      </c>
      <c r="E74" s="2" t="s">
        <v>33</v>
      </c>
      <c r="F74" s="2" t="s">
        <v>68</v>
      </c>
      <c r="G74" s="44">
        <v>2.21</v>
      </c>
      <c r="H74" s="12">
        <v>1.28</v>
      </c>
      <c r="I74" s="12">
        <f t="shared" si="1"/>
        <v>0.93</v>
      </c>
      <c r="J74" s="39"/>
      <c r="K74" s="12" t="s">
        <v>22</v>
      </c>
      <c r="L74" s="3" t="s">
        <v>18</v>
      </c>
      <c r="M74" s="1"/>
      <c r="N74" s="21"/>
    </row>
    <row r="75" spans="2:14">
      <c r="B75" s="9" t="s">
        <v>19</v>
      </c>
      <c r="C75" s="10" t="s">
        <v>69</v>
      </c>
      <c r="D75" s="2" t="s">
        <v>37</v>
      </c>
      <c r="E75" s="2" t="s">
        <v>33</v>
      </c>
      <c r="F75" s="2" t="s">
        <v>68</v>
      </c>
      <c r="G75" s="44">
        <v>3.14</v>
      </c>
      <c r="H75" s="12">
        <v>0</v>
      </c>
      <c r="I75" s="37">
        <f t="shared" si="1"/>
        <v>3.14</v>
      </c>
      <c r="J75" s="39"/>
      <c r="K75" s="12" t="s">
        <v>22</v>
      </c>
      <c r="L75" s="3" t="s">
        <v>18</v>
      </c>
      <c r="M75" s="1"/>
      <c r="N75" s="21"/>
    </row>
    <row r="76" spans="2:14">
      <c r="B76" s="9" t="s">
        <v>19</v>
      </c>
      <c r="C76" s="6" t="s">
        <v>71</v>
      </c>
      <c r="D76" s="18" t="s">
        <v>72</v>
      </c>
      <c r="E76" s="18" t="s">
        <v>33</v>
      </c>
      <c r="F76" s="18" t="s">
        <v>73</v>
      </c>
      <c r="G76" s="44">
        <v>3.43</v>
      </c>
      <c r="H76" s="12">
        <v>2.13</v>
      </c>
      <c r="I76" s="37">
        <f t="shared" si="1"/>
        <v>1.3</v>
      </c>
      <c r="J76" s="39"/>
      <c r="K76" s="12" t="s">
        <v>22</v>
      </c>
      <c r="L76" s="3" t="s">
        <v>18</v>
      </c>
      <c r="M76" s="1"/>
      <c r="N76" s="21"/>
    </row>
    <row r="77" spans="2:14">
      <c r="B77" s="9" t="s">
        <v>19</v>
      </c>
      <c r="C77" s="9" t="s">
        <v>74</v>
      </c>
      <c r="D77" s="18" t="s">
        <v>75</v>
      </c>
      <c r="E77" s="18" t="s">
        <v>33</v>
      </c>
      <c r="F77" s="18" t="s">
        <v>73</v>
      </c>
      <c r="G77" s="44">
        <v>3.51</v>
      </c>
      <c r="H77" s="12">
        <v>2.13</v>
      </c>
      <c r="I77" s="12">
        <f t="shared" si="1"/>
        <v>1.38</v>
      </c>
      <c r="J77" s="39"/>
      <c r="K77" s="12" t="s">
        <v>22</v>
      </c>
      <c r="L77" s="3" t="s">
        <v>18</v>
      </c>
      <c r="M77" s="1"/>
      <c r="N77" s="21"/>
    </row>
    <row r="78" spans="2:14">
      <c r="B78" s="9" t="s">
        <v>19</v>
      </c>
      <c r="C78" s="9" t="s">
        <v>74</v>
      </c>
      <c r="D78" s="18" t="s">
        <v>76</v>
      </c>
      <c r="E78" s="18" t="s">
        <v>33</v>
      </c>
      <c r="F78" s="18" t="s">
        <v>73</v>
      </c>
      <c r="G78" s="44">
        <v>2.33</v>
      </c>
      <c r="H78" s="12">
        <v>0</v>
      </c>
      <c r="I78" s="12">
        <f t="shared" si="1"/>
        <v>2.33</v>
      </c>
      <c r="J78" s="39"/>
      <c r="K78" s="12" t="s">
        <v>22</v>
      </c>
      <c r="L78" s="3" t="s">
        <v>18</v>
      </c>
      <c r="M78" s="1"/>
      <c r="N78" s="21"/>
    </row>
    <row r="79" spans="2:14">
      <c r="B79" s="9" t="s">
        <v>19</v>
      </c>
      <c r="C79" s="9" t="s">
        <v>74</v>
      </c>
      <c r="D79" s="18" t="s">
        <v>77</v>
      </c>
      <c r="E79" s="18" t="s">
        <v>33</v>
      </c>
      <c r="F79" s="18" t="s">
        <v>73</v>
      </c>
      <c r="G79" s="44">
        <v>6.46</v>
      </c>
      <c r="H79" s="12">
        <v>2.13</v>
      </c>
      <c r="I79" s="37">
        <f t="shared" si="1"/>
        <v>4.33</v>
      </c>
      <c r="J79" s="39"/>
      <c r="K79" s="12" t="s">
        <v>22</v>
      </c>
      <c r="L79" s="3" t="s">
        <v>18</v>
      </c>
      <c r="M79" s="1"/>
      <c r="N79" s="21"/>
    </row>
    <row r="80" spans="2:14">
      <c r="B80" s="9" t="s">
        <v>19</v>
      </c>
      <c r="C80" s="9" t="s">
        <v>74</v>
      </c>
      <c r="D80" s="18" t="s">
        <v>78</v>
      </c>
      <c r="E80" s="18" t="s">
        <v>33</v>
      </c>
      <c r="F80" s="18" t="s">
        <v>73</v>
      </c>
      <c r="G80" s="44">
        <v>4.43</v>
      </c>
      <c r="H80" s="12">
        <v>4.12</v>
      </c>
      <c r="I80" s="12">
        <f t="shared" si="1"/>
        <v>0.31</v>
      </c>
      <c r="J80" s="39"/>
      <c r="K80" s="12" t="s">
        <v>22</v>
      </c>
      <c r="L80" s="3" t="s">
        <v>18</v>
      </c>
      <c r="M80" s="1"/>
      <c r="N80" s="21"/>
    </row>
    <row r="81" spans="2:14">
      <c r="B81" s="9"/>
      <c r="C81" s="9" t="s">
        <v>74</v>
      </c>
      <c r="D81" s="18" t="s">
        <v>79</v>
      </c>
      <c r="E81" s="18" t="s">
        <v>33</v>
      </c>
      <c r="F81" s="18" t="s">
        <v>73</v>
      </c>
      <c r="G81" s="44">
        <v>4.3</v>
      </c>
      <c r="H81" s="12">
        <v>2.13</v>
      </c>
      <c r="I81" s="37">
        <f t="shared" si="1"/>
        <v>2.17</v>
      </c>
      <c r="J81" s="39"/>
      <c r="K81" s="12" t="s">
        <v>22</v>
      </c>
      <c r="L81" s="3" t="s">
        <v>18</v>
      </c>
      <c r="M81" s="1"/>
      <c r="N81" s="21"/>
    </row>
    <row r="82" spans="2:14">
      <c r="B82" s="9" t="s">
        <v>19</v>
      </c>
      <c r="C82" s="6" t="s">
        <v>80</v>
      </c>
      <c r="D82" s="2" t="s">
        <v>49</v>
      </c>
      <c r="E82" s="2" t="s">
        <v>33</v>
      </c>
      <c r="F82" s="2" t="s">
        <v>81</v>
      </c>
      <c r="G82" s="44">
        <v>5.21</v>
      </c>
      <c r="H82" s="12">
        <v>2.13</v>
      </c>
      <c r="I82" s="37">
        <f t="shared" si="1"/>
        <v>3.08</v>
      </c>
      <c r="J82" s="39"/>
      <c r="K82" s="12" t="s">
        <v>22</v>
      </c>
      <c r="L82" s="3" t="s">
        <v>18</v>
      </c>
      <c r="M82" s="1" t="inlineStr">
        <is>
          <t>기존값 유지 (손운전 이동, 미측정)</t>
        </is>
      </c>
      <c r="N82" s="21"/>
    </row>
    <row r="83" spans="2:14">
      <c r="B83" s="9" t="s">
        <v>19</v>
      </c>
      <c r="C83" s="9" t="s">
        <v>82</v>
      </c>
      <c r="D83" s="2" t="s">
        <v>83</v>
      </c>
      <c r="E83" s="2" t="s">
        <v>33</v>
      </c>
      <c r="F83" s="2" t="s">
        <v>81</v>
      </c>
      <c r="G83" s="44">
        <v>0.1</v>
      </c>
      <c r="H83" s="12">
        <v>0.25800000000000001</v>
      </c>
      <c r="I83" s="12">
        <f t="shared" si="1"/>
        <v>-0.158</v>
      </c>
      <c r="J83" s="39"/>
      <c r="K83" s="12" t="s">
        <v>22</v>
      </c>
      <c r="L83" s="3" t="s">
        <v>18</v>
      </c>
      <c r="M83" s="1"/>
      <c r="N83" s="21"/>
    </row>
    <row r="84" spans="2:14">
      <c r="B84" s="9" t="s">
        <v>19</v>
      </c>
      <c r="C84" s="9" t="s">
        <v>82</v>
      </c>
      <c r="D84" s="2" t="s">
        <v>84</v>
      </c>
      <c r="E84" s="2" t="s">
        <v>33</v>
      </c>
      <c r="F84" s="2" t="s">
        <v>81</v>
      </c>
      <c r="G84" s="44">
        <v>1.91</v>
      </c>
      <c r="H84" s="12">
        <v>2.13</v>
      </c>
      <c r="I84" s="12">
        <f t="shared" si="1"/>
        <v>-0.22</v>
      </c>
      <c r="J84" s="39"/>
      <c r="K84" s="12" t="s">
        <v>22</v>
      </c>
      <c r="L84" s="3" t="s">
        <v>18</v>
      </c>
      <c r="M84" s="1"/>
      <c r="N84" s="21"/>
    </row>
    <row r="85" spans="2:14">
      <c r="B85" s="9" t="s">
        <v>19</v>
      </c>
      <c r="C85" s="9" t="s">
        <v>82</v>
      </c>
      <c r="D85" s="2" t="s">
        <v>85</v>
      </c>
      <c r="E85" s="2" t="s">
        <v>33</v>
      </c>
      <c r="F85" s="2" t="s">
        <v>81</v>
      </c>
      <c r="G85" s="44">
        <v>2.82</v>
      </c>
      <c r="H85" s="12">
        <v>1.28</v>
      </c>
      <c r="I85" s="12">
        <f t="shared" si="1"/>
        <v>1.54</v>
      </c>
      <c r="J85" s="39"/>
      <c r="K85" s="12" t="s">
        <v>22</v>
      </c>
      <c r="L85" s="3" t="s">
        <v>18</v>
      </c>
      <c r="M85" s="1"/>
      <c r="N85" s="21"/>
    </row>
    <row r="86" spans="2:14">
      <c r="B86" s="9" t="s">
        <v>19</v>
      </c>
      <c r="C86" s="9" t="s">
        <v>82</v>
      </c>
      <c r="D86" s="2" t="s">
        <v>76</v>
      </c>
      <c r="E86" s="2" t="s">
        <v>33</v>
      </c>
      <c r="F86" s="2" t="s">
        <v>81</v>
      </c>
      <c r="G86" s="44">
        <v>3.22</v>
      </c>
      <c r="H86" s="12">
        <v>0</v>
      </c>
      <c r="I86" s="12">
        <f t="shared" si="1"/>
        <v>3.22</v>
      </c>
      <c r="J86" s="39"/>
      <c r="K86" s="12" t="s">
        <v>22</v>
      </c>
      <c r="L86" s="3" t="s">
        <v>18</v>
      </c>
      <c r="M86" s="1"/>
      <c r="N86" s="21"/>
    </row>
    <row r="87" spans="2:14">
      <c r="B87" s="9" t="s">
        <v>19</v>
      </c>
      <c r="C87" s="9" t="s">
        <v>82</v>
      </c>
      <c r="D87" s="2" t="s">
        <v>86</v>
      </c>
      <c r="E87" s="2" t="s">
        <v>33</v>
      </c>
      <c r="F87" s="2" t="s">
        <v>81</v>
      </c>
      <c r="G87" s="44">
        <v>3.29</v>
      </c>
      <c r="H87" s="12">
        <v>2.13</v>
      </c>
      <c r="I87" s="37">
        <f t="shared" si="1"/>
        <v>1.16</v>
      </c>
      <c r="J87" s="39"/>
      <c r="K87" s="12" t="s">
        <v>22</v>
      </c>
      <c r="L87" s="3" t="s">
        <v>18</v>
      </c>
      <c r="M87" s="1"/>
      <c r="N87" s="21"/>
    </row>
    <row r="88" spans="2:14">
      <c r="B88" s="9" t="s">
        <v>19</v>
      </c>
      <c r="C88" s="9" t="s">
        <v>82</v>
      </c>
      <c r="D88" s="2" t="s">
        <v>87</v>
      </c>
      <c r="E88" s="2" t="s">
        <v>33</v>
      </c>
      <c r="F88" s="2" t="s">
        <v>81</v>
      </c>
      <c r="G88" s="44">
        <v>2.83</v>
      </c>
      <c r="H88" s="12">
        <v>4.12</v>
      </c>
      <c r="I88" s="37">
        <f t="shared" si="1"/>
        <v>-1.29</v>
      </c>
      <c r="J88" s="39"/>
      <c r="K88" s="12" t="s">
        <v>22</v>
      </c>
      <c r="L88" s="3" t="s">
        <v>18</v>
      </c>
      <c r="M88" s="1"/>
      <c r="N88" s="21"/>
    </row>
    <row r="89" spans="2:14">
      <c r="B89" s="9" t="s">
        <v>19</v>
      </c>
      <c r="C89" s="9" t="s">
        <v>82</v>
      </c>
      <c r="D89" s="2" t="s">
        <v>88</v>
      </c>
      <c r="E89" s="2" t="s">
        <v>33</v>
      </c>
      <c r="F89" s="2" t="s">
        <v>81</v>
      </c>
      <c r="G89" s="44">
        <v>4.24</v>
      </c>
      <c r="H89" s="12">
        <v>1.28</v>
      </c>
      <c r="I89" s="37">
        <f t="shared" si="1"/>
        <v>2.96</v>
      </c>
      <c r="J89" s="39"/>
      <c r="K89" s="12" t="s">
        <v>22</v>
      </c>
      <c r="L89" s="3" t="s">
        <v>18</v>
      </c>
      <c r="M89" s="1"/>
      <c r="N89" s="21"/>
    </row>
    <row r="90" spans="2:14">
      <c r="B90" s="9" t="s">
        <v>19</v>
      </c>
      <c r="C90" s="9" t="s">
        <v>82</v>
      </c>
      <c r="D90" s="2" t="s">
        <v>37</v>
      </c>
      <c r="E90" s="2" t="s">
        <v>33</v>
      </c>
      <c r="F90" s="2" t="s">
        <v>81</v>
      </c>
      <c r="G90" s="44">
        <v>1.06</v>
      </c>
      <c r="H90" s="12">
        <v>0</v>
      </c>
      <c r="I90" s="12">
        <f t="shared" si="1"/>
        <v>1.06</v>
      </c>
      <c r="J90" s="39"/>
      <c r="K90" s="12" t="s">
        <v>22</v>
      </c>
      <c r="L90" s="3" t="s">
        <v>18</v>
      </c>
      <c r="M90" s="1"/>
      <c r="N90" s="21"/>
    </row>
    <row r="91" spans="2:14">
      <c r="B91" s="9" t="s">
        <v>19</v>
      </c>
      <c r="C91" s="9" t="s">
        <v>82</v>
      </c>
      <c r="D91" s="2" t="s">
        <v>89</v>
      </c>
      <c r="E91" s="2" t="s">
        <v>33</v>
      </c>
      <c r="F91" s="2" t="s">
        <v>81</v>
      </c>
      <c r="G91" s="3">
        <v>0</v>
      </c>
      <c r="H91" s="12">
        <v>2.13</v>
      </c>
      <c r="I91" s="12">
        <f t="shared" si="1"/>
        <v>-2.13</v>
      </c>
      <c r="J91" s="39"/>
      <c r="K91" s="12" t="s">
        <v>22</v>
      </c>
      <c r="L91" s="3" t="s">
        <v>18</v>
      </c>
      <c r="M91" s="1"/>
      <c r="N91" s="21"/>
    </row>
    <row r="92" spans="2:14" hidden="1">
      <c r="B92" s="9" t="s">
        <v>19</v>
      </c>
      <c r="C92" s="9" t="s">
        <v>82</v>
      </c>
      <c r="D92" s="2" t="s">
        <v>23</v>
      </c>
      <c r="E92" s="2" t="s">
        <v>21</v>
      </c>
      <c r="F92" s="2" t="s">
        <v>81</v>
      </c>
      <c r="G92" s="3"/>
      <c r="H92" s="12"/>
      <c r="I92" s="12"/>
      <c r="J92" s="12"/>
      <c r="K92" s="12" t="s">
        <v>22</v>
      </c>
      <c r="L92" s="3" t="s">
        <v>18</v>
      </c>
      <c r="M92" s="1"/>
      <c r="N92" s="21"/>
    </row>
    <row r="93" spans="2:14" hidden="1">
      <c r="B93" s="9" t="s">
        <v>19</v>
      </c>
      <c r="C93" s="9" t="s">
        <v>82</v>
      </c>
      <c r="D93" s="2" t="s">
        <v>90</v>
      </c>
      <c r="E93" s="2" t="s">
        <v>21</v>
      </c>
      <c r="F93" s="2" t="s">
        <v>81</v>
      </c>
      <c r="G93" s="3"/>
      <c r="H93" s="12"/>
      <c r="I93" s="12"/>
      <c r="J93" s="12"/>
      <c r="K93" s="12" t="s">
        <v>22</v>
      </c>
      <c r="L93" s="3" t="s">
        <v>18</v>
      </c>
      <c r="M93" s="1"/>
      <c r="N93" s="21"/>
    </row>
    <row r="94" spans="2:14" hidden="1">
      <c r="B94" s="9" t="s">
        <v>19</v>
      </c>
      <c r="C94" s="9" t="s">
        <v>82</v>
      </c>
      <c r="D94" s="2" t="s">
        <v>25</v>
      </c>
      <c r="E94" s="2" t="s">
        <v>21</v>
      </c>
      <c r="F94" s="2" t="s">
        <v>81</v>
      </c>
      <c r="G94" s="3"/>
      <c r="H94" s="12"/>
      <c r="I94" s="12"/>
      <c r="J94" s="12"/>
      <c r="K94" s="12" t="s">
        <v>22</v>
      </c>
      <c r="L94" s="3" t="s">
        <v>18</v>
      </c>
      <c r="M94" s="1"/>
      <c r="N94" s="21"/>
    </row>
    <row r="95" spans="2:14">
      <c r="B95" s="9" t="s">
        <v>19</v>
      </c>
      <c r="C95" s="6" t="s">
        <v>91</v>
      </c>
      <c r="D95" s="1" t="s">
        <v>30</v>
      </c>
      <c r="E95" s="1" t="s">
        <v>33</v>
      </c>
      <c r="F95" s="1" t="s">
        <v>91</v>
      </c>
      <c r="G95" s="3" t="s">
        <v>92</v>
      </c>
      <c r="H95" s="12"/>
      <c r="I95" s="12"/>
      <c r="J95" s="12"/>
      <c r="K95" s="12" t="s">
        <v>22</v>
      </c>
      <c r="L95" s="3" t="s">
        <v>93</v>
      </c>
      <c r="M95" s="1" t="s">
        <v>94</v>
      </c>
      <c r="N95" s="21"/>
    </row>
    <row r="96" spans="2:14">
      <c r="B96" s="9" t="s">
        <v>19</v>
      </c>
      <c r="C96" s="9" t="s">
        <v>91</v>
      </c>
      <c r="D96" s="1" t="s">
        <v>95</v>
      </c>
      <c r="E96" s="1" t="s">
        <v>33</v>
      </c>
      <c r="F96" s="1" t="s">
        <v>91</v>
      </c>
      <c r="G96" s="3" t="s">
        <v>92</v>
      </c>
      <c r="H96" s="12"/>
      <c r="I96" s="12"/>
      <c r="J96" s="12"/>
      <c r="K96" s="12" t="s">
        <v>22</v>
      </c>
      <c r="L96" s="3" t="s">
        <v>93</v>
      </c>
      <c r="M96" s="1" t="s">
        <v>94</v>
      </c>
      <c r="N96" s="21"/>
    </row>
    <row r="97" spans="2:14">
      <c r="B97" s="9" t="s">
        <v>19</v>
      </c>
      <c r="C97" s="9" t="s">
        <v>91</v>
      </c>
      <c r="D97" s="1" t="s">
        <v>96</v>
      </c>
      <c r="E97" s="1" t="s">
        <v>33</v>
      </c>
      <c r="F97" s="1" t="s">
        <v>91</v>
      </c>
      <c r="G97" s="3" t="s">
        <v>92</v>
      </c>
      <c r="H97" s="12"/>
      <c r="I97" s="12"/>
      <c r="J97" s="12"/>
      <c r="K97" s="12" t="s">
        <v>22</v>
      </c>
      <c r="L97" s="3" t="s">
        <v>93</v>
      </c>
      <c r="M97" s="1" t="s">
        <v>94</v>
      </c>
      <c r="N97" s="21"/>
    </row>
    <row r="98" spans="2:14">
      <c r="B98" s="9" t="s">
        <v>19</v>
      </c>
      <c r="C98" s="9" t="s">
        <v>91</v>
      </c>
      <c r="D98" s="1" t="s">
        <v>97</v>
      </c>
      <c r="E98" s="1" t="s">
        <v>33</v>
      </c>
      <c r="F98" s="1" t="s">
        <v>91</v>
      </c>
      <c r="G98" s="3" t="s">
        <v>92</v>
      </c>
      <c r="H98" s="12"/>
      <c r="I98" s="12"/>
      <c r="J98" s="12"/>
      <c r="K98" s="12" t="s">
        <v>22</v>
      </c>
      <c r="L98" s="3" t="s">
        <v>93</v>
      </c>
      <c r="M98" s="1" t="s">
        <v>94</v>
      </c>
      <c r="N98" s="21"/>
    </row>
    <row r="99" spans="2:14">
      <c r="B99" s="9" t="s">
        <v>19</v>
      </c>
      <c r="C99" s="9" t="s">
        <v>91</v>
      </c>
      <c r="D99" s="1" t="s">
        <v>98</v>
      </c>
      <c r="E99" s="1" t="s">
        <v>33</v>
      </c>
      <c r="F99" s="1" t="s">
        <v>91</v>
      </c>
      <c r="G99" s="3" t="s">
        <v>92</v>
      </c>
      <c r="H99" s="12"/>
      <c r="I99" s="12"/>
      <c r="J99" s="12"/>
      <c r="K99" s="12" t="s">
        <v>22</v>
      </c>
      <c r="L99" s="3" t="s">
        <v>93</v>
      </c>
      <c r="M99" s="1" t="s">
        <v>94</v>
      </c>
      <c r="N99" s="21"/>
    </row>
    <row r="100" spans="2:14">
      <c r="B100" s="9" t="s">
        <v>19</v>
      </c>
      <c r="C100" s="9" t="s">
        <v>91</v>
      </c>
      <c r="D100" s="1" t="s">
        <v>99</v>
      </c>
      <c r="E100" s="1" t="s">
        <v>33</v>
      </c>
      <c r="F100" s="1" t="s">
        <v>91</v>
      </c>
      <c r="G100" s="3" t="s">
        <v>92</v>
      </c>
      <c r="H100" s="12"/>
      <c r="I100" s="12"/>
      <c r="J100" s="12"/>
      <c r="K100" s="12" t="s">
        <v>22</v>
      </c>
      <c r="L100" s="3" t="s">
        <v>93</v>
      </c>
      <c r="M100" s="1" t="s">
        <v>94</v>
      </c>
      <c r="N100" s="21"/>
    </row>
    <row r="101" spans="2:14">
      <c r="B101" s="9" t="s">
        <v>19</v>
      </c>
      <c r="C101" s="9" t="s">
        <v>91</v>
      </c>
      <c r="D101" s="1" t="s">
        <v>100</v>
      </c>
      <c r="E101" s="1" t="s">
        <v>33</v>
      </c>
      <c r="F101" s="1" t="s">
        <v>91</v>
      </c>
      <c r="G101" s="3" t="s">
        <v>92</v>
      </c>
      <c r="H101" s="12"/>
      <c r="I101" s="12"/>
      <c r="J101" s="12"/>
      <c r="K101" s="12" t="s">
        <v>22</v>
      </c>
      <c r="L101" s="3" t="s">
        <v>93</v>
      </c>
      <c r="M101" s="1" t="s">
        <v>94</v>
      </c>
      <c r="N101" s="21"/>
    </row>
    <row r="102" spans="2:14">
      <c r="B102" s="9" t="s">
        <v>19</v>
      </c>
      <c r="C102" s="9" t="s">
        <v>91</v>
      </c>
      <c r="D102" s="1" t="s">
        <v>101</v>
      </c>
      <c r="E102" s="1" t="s">
        <v>33</v>
      </c>
      <c r="F102" s="1" t="s">
        <v>91</v>
      </c>
      <c r="G102" s="3" t="s">
        <v>92</v>
      </c>
      <c r="H102" s="12"/>
      <c r="I102" s="12"/>
      <c r="J102" s="12"/>
      <c r="K102" s="12" t="s">
        <v>22</v>
      </c>
      <c r="L102" s="3" t="s">
        <v>93</v>
      </c>
      <c r="M102" s="1" t="s">
        <v>94</v>
      </c>
      <c r="N102" s="21"/>
    </row>
    <row r="103" spans="2:14">
      <c r="B103" s="9" t="s">
        <v>19</v>
      </c>
      <c r="C103" s="9" t="s">
        <v>91</v>
      </c>
      <c r="D103" s="1" t="s">
        <v>102</v>
      </c>
      <c r="E103" s="1" t="s">
        <v>33</v>
      </c>
      <c r="F103" s="1" t="s">
        <v>91</v>
      </c>
      <c r="G103" s="3" t="s">
        <v>92</v>
      </c>
      <c r="H103" s="12"/>
      <c r="I103" s="12"/>
      <c r="J103" s="12"/>
      <c r="K103" s="12" t="s">
        <v>22</v>
      </c>
      <c r="L103" s="3" t="s">
        <v>93</v>
      </c>
      <c r="M103" s="1" t="s">
        <v>94</v>
      </c>
      <c r="N103" s="21"/>
    </row>
    <row r="104" spans="2:14">
      <c r="B104" s="9" t="s">
        <v>19</v>
      </c>
      <c r="C104" s="9" t="s">
        <v>91</v>
      </c>
      <c r="D104" s="1" t="s">
        <v>103</v>
      </c>
      <c r="E104" s="1" t="s">
        <v>33</v>
      </c>
      <c r="F104" s="1" t="s">
        <v>91</v>
      </c>
      <c r="G104" s="3" t="s">
        <v>92</v>
      </c>
      <c r="H104" s="12"/>
      <c r="I104" s="12"/>
      <c r="J104" s="12"/>
      <c r="K104" s="12" t="s">
        <v>22</v>
      </c>
      <c r="L104" s="3" t="s">
        <v>93</v>
      </c>
      <c r="M104" s="1" t="s">
        <v>94</v>
      </c>
      <c r="N104" s="21"/>
    </row>
    <row r="105" spans="2:14">
      <c r="B105" s="9" t="s">
        <v>19</v>
      </c>
      <c r="C105" s="9" t="s">
        <v>91</v>
      </c>
      <c r="D105" s="1" t="s">
        <v>104</v>
      </c>
      <c r="E105" s="1" t="s">
        <v>33</v>
      </c>
      <c r="F105" s="1" t="s">
        <v>91</v>
      </c>
      <c r="G105" s="3" t="s">
        <v>92</v>
      </c>
      <c r="H105" s="12"/>
      <c r="I105" s="12"/>
      <c r="J105" s="12"/>
      <c r="K105" s="12" t="s">
        <v>22</v>
      </c>
      <c r="L105" s="3" t="s">
        <v>93</v>
      </c>
      <c r="M105" s="1" t="s">
        <v>94</v>
      </c>
      <c r="N105" s="21"/>
    </row>
    <row r="106" spans="2:14">
      <c r="B106" s="10" t="s">
        <v>19</v>
      </c>
      <c r="C106" s="10" t="s">
        <v>91</v>
      </c>
      <c r="D106" s="1" t="s">
        <v>30</v>
      </c>
      <c r="E106" s="1" t="s">
        <v>33</v>
      </c>
      <c r="F106" s="1" t="s">
        <v>91</v>
      </c>
      <c r="G106" s="3" t="s">
        <v>92</v>
      </c>
      <c r="H106" s="12"/>
      <c r="I106" s="12"/>
      <c r="J106" s="12"/>
      <c r="K106" s="12" t="s">
        <v>22</v>
      </c>
      <c r="L106" s="3" t="s">
        <v>93</v>
      </c>
      <c r="M106" s="1" t="s">
        <v>94</v>
      </c>
      <c r="N106" s="21"/>
    </row>
    <row r="107" spans="2:14">
      <c r="B107" s="19"/>
      <c r="C107" s="19"/>
      <c r="D107" s="20"/>
      <c r="E107" s="20"/>
      <c r="F107" s="20"/>
      <c r="G107" s="20"/>
      <c r="H107" s="20"/>
      <c r="I107" s="20"/>
      <c r="J107" s="20"/>
      <c r="K107" s="21"/>
      <c r="L107" s="21"/>
      <c r="M107" s="21"/>
      <c r="N107" s="21"/>
    </row>
    <row r="108" spans="2:14">
      <c r="F108" s="25" t="s">
        <v>105</v>
      </c>
      <c r="G108" s="3" t="s">
        <v>106</v>
      </c>
      <c r="H108" s="25" t="s">
        <v>107</v>
      </c>
      <c r="I108" s="25"/>
      <c r="J108" s="25"/>
      <c r="K108" s="3" t="s">
        <v>108</v>
      </c>
      <c r="L108" s="3" t="s">
        <v>109</v>
      </c>
      <c r="M108" s="3" t="s">
        <v>110</v>
      </c>
      <c r="N108" s="21"/>
    </row>
    <row r="109" spans="2:14">
      <c r="F109" s="3" t="s">
        <v>34</v>
      </c>
      <c r="G109" s="23">
        <f t="shared" ref="G109:G117" si="2">SUMIF($F$13:$F$106,F109,$G$13:$G$106)</f>
        <v>21.01</v>
      </c>
      <c r="H109" s="33">
        <f t="shared" ref="H109:H117" si="3">SUMIF($F$13:$F$106,F109,$H$13:$H$106)</f>
        <v>8.4980000000000011</v>
      </c>
      <c r="I109" s="33"/>
      <c r="J109" s="33"/>
      <c r="K109" s="25">
        <v>1</v>
      </c>
      <c r="L109" s="25">
        <f t="shared" ref="L109:L117" si="4">G109*K109</f>
        <v>21.01</v>
      </c>
      <c r="M109" s="29">
        <f t="shared" ref="M109:M117" si="5">H109*K109</f>
        <v>8.4980000000000011</v>
      </c>
    </row>
    <row r="110" spans="2:14">
      <c r="F110" s="3" t="s">
        <v>47</v>
      </c>
      <c r="G110" s="23">
        <f t="shared" si="2"/>
        <v>27.48</v>
      </c>
      <c r="H110" s="33">
        <f t="shared" si="3"/>
        <v>9.7780000000000005</v>
      </c>
      <c r="I110" s="33"/>
      <c r="J110" s="33"/>
      <c r="K110" s="25">
        <v>3</v>
      </c>
      <c r="L110" s="25">
        <f t="shared" si="4"/>
        <v>82.44</v>
      </c>
      <c r="M110" s="29">
        <f t="shared" si="5"/>
        <v>29.334000000000003</v>
      </c>
    </row>
    <row r="111" spans="2:14">
      <c r="F111" s="3" t="s">
        <v>52</v>
      </c>
      <c r="G111" s="34">
        <f t="shared" si="2"/>
        <v>21.66</v>
      </c>
      <c r="H111" s="35">
        <f t="shared" si="3"/>
        <v>12.165999999999999</v>
      </c>
      <c r="I111" s="35"/>
      <c r="J111" s="35"/>
      <c r="K111" s="25">
        <v>1</v>
      </c>
      <c r="L111" s="28">
        <f t="shared" si="4"/>
        <v>21.66</v>
      </c>
      <c r="M111" s="30">
        <f t="shared" si="5"/>
        <v>12.165999999999999</v>
      </c>
    </row>
    <row r="112" spans="2:14">
      <c r="F112" s="3" t="s">
        <v>68</v>
      </c>
      <c r="G112" s="34">
        <f t="shared" si="2"/>
        <v>21.75</v>
      </c>
      <c r="H112" s="35">
        <f t="shared" si="3"/>
        <v>11.337999999999999</v>
      </c>
      <c r="I112" s="35"/>
      <c r="J112" s="35"/>
      <c r="K112" s="25">
        <v>5</v>
      </c>
      <c r="L112" s="28">
        <f t="shared" si="4"/>
        <v>108.75</v>
      </c>
      <c r="M112" s="30">
        <f t="shared" si="5"/>
        <v>56.69</v>
      </c>
    </row>
    <row r="113" spans="6:14">
      <c r="F113" s="24" t="s">
        <v>59</v>
      </c>
      <c r="G113" s="34">
        <f t="shared" si="2"/>
        <v>20.52</v>
      </c>
      <c r="H113" s="35">
        <f t="shared" si="3"/>
        <v>14.177999999999999</v>
      </c>
      <c r="I113" s="35"/>
      <c r="J113" s="35"/>
      <c r="K113" s="25">
        <v>2</v>
      </c>
      <c r="L113" s="28">
        <f t="shared" si="4"/>
        <v>41.04</v>
      </c>
      <c r="M113" s="30">
        <f t="shared" si="5"/>
        <v>28.355999999999998</v>
      </c>
    </row>
    <row r="114" spans="6:14">
      <c r="F114" s="24" t="s">
        <v>65</v>
      </c>
      <c r="G114" s="34">
        <f t="shared" si="2"/>
        <v>20.79</v>
      </c>
      <c r="H114" s="35">
        <f t="shared" si="3"/>
        <v>14.177999999999999</v>
      </c>
      <c r="I114" s="35"/>
      <c r="J114" s="35"/>
      <c r="K114" s="25">
        <v>6</v>
      </c>
      <c r="L114" s="28">
        <f t="shared" si="4"/>
        <v>124.74</v>
      </c>
      <c r="M114" s="30">
        <f t="shared" si="5"/>
        <v>85.067999999999998</v>
      </c>
    </row>
    <row r="115" spans="6:14">
      <c r="F115" s="3" t="s">
        <v>111</v>
      </c>
      <c r="G115" s="23">
        <f t="shared" si="2"/>
        <v>24.46</v>
      </c>
      <c r="H115" s="33">
        <f t="shared" si="3"/>
        <v>12.64</v>
      </c>
      <c r="I115" s="33"/>
      <c r="J115" s="33"/>
      <c r="K115" s="25">
        <v>1</v>
      </c>
      <c r="L115" s="25">
        <f t="shared" si="4"/>
        <v>24.46</v>
      </c>
      <c r="M115" s="29">
        <f t="shared" si="5"/>
        <v>12.64</v>
      </c>
    </row>
    <row r="116" spans="6:14">
      <c r="F116" s="3" t="s">
        <v>81</v>
      </c>
      <c r="G116" s="23">
        <f t="shared" si="2"/>
        <v>24.68</v>
      </c>
      <c r="H116" s="33">
        <f t="shared" si="3"/>
        <v>15.457999999999998</v>
      </c>
      <c r="I116" s="33"/>
      <c r="J116" s="33"/>
      <c r="K116" s="25">
        <v>3</v>
      </c>
      <c r="L116" s="25">
        <f t="shared" si="4"/>
        <v>74.04</v>
      </c>
      <c r="M116" s="29">
        <f t="shared" si="5"/>
        <v>46.373999999999995</v>
      </c>
    </row>
    <row r="117" spans="6:14">
      <c r="F117" s="3" t="s">
        <v>91</v>
      </c>
      <c r="G117" s="23">
        <f t="shared" si="2"/>
        <v>0</v>
      </c>
      <c r="H117" s="23">
        <f t="shared" si="3"/>
        <v>0</v>
      </c>
      <c r="I117" s="23"/>
      <c r="J117" s="23"/>
      <c r="K117" s="25">
        <v>0</v>
      </c>
      <c r="L117" s="25">
        <f t="shared" si="4"/>
        <v>0</v>
      </c>
      <c r="M117" s="25">
        <f t="shared" si="5"/>
        <v>0</v>
      </c>
    </row>
    <row r="118" spans="6:14">
      <c r="F118" s="14"/>
      <c r="G118" s="14"/>
      <c r="H118" s="14"/>
      <c r="I118" s="14"/>
      <c r="J118" s="14"/>
      <c r="K118" s="14"/>
      <c r="L118" s="14">
        <f t="shared" ref="L118:M118" si="6">SUM(L109:L117)</f>
        <v>498.14</v>
      </c>
      <c r="M118" s="31">
        <f t="shared" si="6"/>
        <v>279.12599999999998</v>
      </c>
      <c r="N118" s="14"/>
    </row>
    <row r="119" spans="6:14">
      <c r="F119" s="14"/>
      <c r="G119" s="14"/>
      <c r="H119" s="14"/>
      <c r="I119" s="14"/>
      <c r="J119" s="14"/>
      <c r="M119" s="32"/>
    </row>
    <row r="120" spans="6:14">
      <c r="M120" s="32"/>
    </row>
    <row r="121" spans="6:14">
      <c r="F121" s="14"/>
      <c r="L121" s="15">
        <f>L111+L112+L113+L114</f>
        <v>296.19</v>
      </c>
      <c r="M121" s="32">
        <f>M111+M112+M113+M114</f>
        <v>182.27999999999997</v>
      </c>
    </row>
    <row r="122" spans="6:14">
      <c r="F122" s="14"/>
    </row>
    <row r="123" spans="6:14">
      <c r="F123" s="14"/>
    </row>
    <row r="124" spans="6:14">
      <c r="F124" s="14"/>
    </row>
    <row r="125" spans="6:14">
      <c r="F125" s="14"/>
    </row>
    <row r="126" spans="6:14">
      <c r="F126" s="14"/>
    </row>
    <row r="127" spans="6:14">
      <c r="F127" s="14"/>
    </row>
  </sheetData>
  <autoFilter ref="B3:K106" xr:uid="{00000000-0009-0000-0000-000000000000}">
    <filterColumn colId="3">
      <filters>
        <filter val="휴머노이드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A1A9-A6FE-414F-B782-B3337BAFC3C5}">
  <dimension ref="B2:N127"/>
  <sheetViews>
    <sheetView showGridLines="0" zoomScale="70" zoomScaleNormal="70" workbookViewId="0">
      <selection activeCell="M112" sqref="M112"/>
    </sheetView>
  </sheetViews>
  <sheetFormatPr defaultRowHeight="17.100000000000001"/>
  <cols>
    <col min="2" max="2" width="12.5" style="15" bestFit="1" customWidth="1"/>
    <col min="3" max="3" width="63.375" style="15" bestFit="1" customWidth="1"/>
    <col min="4" max="4" width="27.625" style="15" customWidth="1"/>
    <col min="5" max="5" width="9.875" style="15" bestFit="1" customWidth="1"/>
    <col min="6" max="6" width="26" style="15" customWidth="1"/>
    <col min="7" max="7" width="16.5" style="15" bestFit="1" customWidth="1"/>
    <col min="8" max="8" width="16.5" style="15" customWidth="1"/>
    <col min="9" max="10" width="15.875" style="15" customWidth="1"/>
    <col min="11" max="11" width="32.625" style="15" bestFit="1" customWidth="1"/>
    <col min="12" max="12" width="15.875" style="15" customWidth="1"/>
    <col min="13" max="13" width="12.875" style="15" bestFit="1" customWidth="1"/>
    <col min="14" max="14" width="11.125" style="15" bestFit="1" customWidth="1"/>
  </cols>
  <sheetData>
    <row r="2" spans="2:12">
      <c r="I2" t="s">
        <v>0</v>
      </c>
      <c r="J2" t="s">
        <v>1</v>
      </c>
      <c r="L2"/>
    </row>
    <row r="3" spans="2:12" ht="27.6" customHeight="1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26" t="s">
        <v>7</v>
      </c>
      <c r="H3" s="27" t="s">
        <v>8</v>
      </c>
      <c r="I3" s="11" t="s">
        <v>11</v>
      </c>
      <c r="J3" s="13" t="s">
        <v>12</v>
      </c>
      <c r="K3" s="5" t="s">
        <v>13</v>
      </c>
      <c r="L3" s="22"/>
    </row>
    <row r="4" spans="2:12">
      <c r="B4" s="6" t="s">
        <v>19</v>
      </c>
      <c r="C4" s="6" t="s">
        <v>15</v>
      </c>
      <c r="D4" s="1" t="s">
        <v>16</v>
      </c>
      <c r="E4" s="1" t="s">
        <v>17</v>
      </c>
      <c r="F4" s="1"/>
      <c r="G4" s="3"/>
      <c r="H4" s="12"/>
      <c r="I4" s="12" t="s">
        <v>18</v>
      </c>
      <c r="J4" s="3" t="s">
        <v>18</v>
      </c>
      <c r="K4" s="1"/>
      <c r="L4" s="21"/>
    </row>
    <row r="5" spans="2:12">
      <c r="B5" s="9" t="s">
        <v>19</v>
      </c>
      <c r="C5" s="7" t="s">
        <v>15</v>
      </c>
      <c r="D5" s="1" t="s">
        <v>20</v>
      </c>
      <c r="E5" s="1" t="s">
        <v>21</v>
      </c>
      <c r="F5" s="1"/>
      <c r="G5" s="3"/>
      <c r="H5" s="12"/>
      <c r="I5" s="12" t="s">
        <v>22</v>
      </c>
      <c r="J5" s="3" t="s">
        <v>18</v>
      </c>
      <c r="K5" s="1"/>
      <c r="L5" s="21"/>
    </row>
    <row r="6" spans="2:12">
      <c r="B6" s="9" t="s">
        <v>19</v>
      </c>
      <c r="C6" s="7" t="s">
        <v>15</v>
      </c>
      <c r="D6" s="1" t="s">
        <v>23</v>
      </c>
      <c r="E6" s="1" t="s">
        <v>21</v>
      </c>
      <c r="F6" s="1"/>
      <c r="G6" s="3"/>
      <c r="H6" s="12"/>
      <c r="I6" s="12" t="s">
        <v>22</v>
      </c>
      <c r="J6" s="3" t="s">
        <v>18</v>
      </c>
      <c r="K6" s="1"/>
      <c r="L6" s="21"/>
    </row>
    <row r="7" spans="2:12">
      <c r="B7" s="9" t="s">
        <v>19</v>
      </c>
      <c r="C7" s="7" t="s">
        <v>15</v>
      </c>
      <c r="D7" s="1" t="s">
        <v>24</v>
      </c>
      <c r="E7" s="1" t="s">
        <v>21</v>
      </c>
      <c r="F7" s="1"/>
      <c r="G7" s="3"/>
      <c r="H7" s="12"/>
      <c r="I7" s="12" t="s">
        <v>22</v>
      </c>
      <c r="J7" s="3" t="s">
        <v>18</v>
      </c>
      <c r="K7" s="1"/>
      <c r="L7" s="21"/>
    </row>
    <row r="8" spans="2:12">
      <c r="B8" s="9" t="s">
        <v>19</v>
      </c>
      <c r="C8" s="8" t="s">
        <v>15</v>
      </c>
      <c r="D8" s="1" t="s">
        <v>25</v>
      </c>
      <c r="E8" s="1" t="s">
        <v>21</v>
      </c>
      <c r="F8" s="1"/>
      <c r="G8" s="3"/>
      <c r="H8" s="12"/>
      <c r="I8" s="12" t="s">
        <v>22</v>
      </c>
      <c r="J8" s="3" t="s">
        <v>18</v>
      </c>
      <c r="K8" s="1"/>
      <c r="L8" s="21"/>
    </row>
    <row r="9" spans="2:12">
      <c r="B9" s="9" t="s">
        <v>19</v>
      </c>
      <c r="C9" s="4" t="s">
        <v>26</v>
      </c>
      <c r="D9" s="1" t="s">
        <v>27</v>
      </c>
      <c r="E9" s="1" t="s">
        <v>28</v>
      </c>
      <c r="F9" s="1"/>
      <c r="G9" s="3"/>
      <c r="H9" s="12"/>
      <c r="I9" s="12" t="s">
        <v>22</v>
      </c>
      <c r="J9" s="3" t="s">
        <v>18</v>
      </c>
      <c r="K9" s="1"/>
      <c r="L9" s="21"/>
    </row>
    <row r="10" spans="2:12">
      <c r="B10" s="9" t="s">
        <v>19</v>
      </c>
      <c r="C10" s="6" t="s">
        <v>29</v>
      </c>
      <c r="D10" s="1" t="s">
        <v>23</v>
      </c>
      <c r="E10" s="1" t="s">
        <v>21</v>
      </c>
      <c r="F10" s="1"/>
      <c r="G10" s="3"/>
      <c r="H10" s="12"/>
      <c r="I10" s="12" t="s">
        <v>22</v>
      </c>
      <c r="J10" s="3" t="s">
        <v>18</v>
      </c>
      <c r="K10" s="1"/>
      <c r="L10" s="21"/>
    </row>
    <row r="11" spans="2:12">
      <c r="B11" s="9" t="s">
        <v>19</v>
      </c>
      <c r="C11" s="9" t="s">
        <v>29</v>
      </c>
      <c r="D11" s="1" t="s">
        <v>30</v>
      </c>
      <c r="E11" s="1" t="s">
        <v>21</v>
      </c>
      <c r="F11" s="1"/>
      <c r="G11" s="3"/>
      <c r="H11" s="12"/>
      <c r="I11" s="12" t="s">
        <v>22</v>
      </c>
      <c r="J11" s="3" t="s">
        <v>18</v>
      </c>
      <c r="K11" s="1"/>
      <c r="L11" s="21"/>
    </row>
    <row r="12" spans="2:12">
      <c r="B12" s="9" t="s">
        <v>19</v>
      </c>
      <c r="C12" s="10" t="s">
        <v>29</v>
      </c>
      <c r="D12" s="1" t="s">
        <v>25</v>
      </c>
      <c r="E12" s="1" t="s">
        <v>21</v>
      </c>
      <c r="F12" s="1"/>
      <c r="G12" s="3"/>
      <c r="H12" s="12"/>
      <c r="I12" s="12" t="s">
        <v>22</v>
      </c>
      <c r="J12" s="3" t="s">
        <v>18</v>
      </c>
      <c r="K12" s="1"/>
      <c r="L12" s="21"/>
    </row>
    <row r="13" spans="2:12">
      <c r="B13" s="9" t="s">
        <v>19</v>
      </c>
      <c r="C13" s="6" t="s">
        <v>31</v>
      </c>
      <c r="D13" s="2" t="s">
        <v>32</v>
      </c>
      <c r="E13" s="2" t="s">
        <v>33</v>
      </c>
      <c r="F13" s="2" t="s">
        <v>34</v>
      </c>
      <c r="G13" s="3">
        <v>1</v>
      </c>
      <c r="H13" s="12">
        <v>1</v>
      </c>
      <c r="I13" s="12" t="s">
        <v>22</v>
      </c>
      <c r="J13" s="3" t="s">
        <v>18</v>
      </c>
      <c r="K13" s="1"/>
      <c r="L13" s="21"/>
    </row>
    <row r="14" spans="2:12">
      <c r="B14" s="9" t="s">
        <v>19</v>
      </c>
      <c r="C14" s="9" t="s">
        <v>31</v>
      </c>
      <c r="D14" s="2" t="s">
        <v>35</v>
      </c>
      <c r="E14" s="2" t="s">
        <v>33</v>
      </c>
      <c r="F14" s="2" t="s">
        <v>34</v>
      </c>
      <c r="G14" s="3">
        <v>3</v>
      </c>
      <c r="H14" s="12">
        <v>1</v>
      </c>
      <c r="I14" s="12" t="s">
        <v>22</v>
      </c>
      <c r="J14" s="3" t="s">
        <v>18</v>
      </c>
      <c r="K14" s="1"/>
      <c r="L14" s="21"/>
    </row>
    <row r="15" spans="2:12">
      <c r="B15" s="9" t="s">
        <v>19</v>
      </c>
      <c r="C15" s="9" t="s">
        <v>31</v>
      </c>
      <c r="D15" s="2" t="s">
        <v>36</v>
      </c>
      <c r="E15" s="2" t="s">
        <v>33</v>
      </c>
      <c r="F15" s="2" t="s">
        <v>34</v>
      </c>
      <c r="G15" s="3">
        <v>4</v>
      </c>
      <c r="H15" s="12">
        <v>1</v>
      </c>
      <c r="I15" s="12" t="s">
        <v>22</v>
      </c>
      <c r="J15" s="3" t="s">
        <v>18</v>
      </c>
      <c r="K15" s="1"/>
      <c r="L15" s="21"/>
    </row>
    <row r="16" spans="2:12">
      <c r="B16" s="9" t="s">
        <v>19</v>
      </c>
      <c r="C16" s="9" t="s">
        <v>31</v>
      </c>
      <c r="D16" s="2" t="s">
        <v>37</v>
      </c>
      <c r="E16" s="2" t="s">
        <v>33</v>
      </c>
      <c r="F16" s="2" t="s">
        <v>34</v>
      </c>
      <c r="G16" s="3">
        <v>2</v>
      </c>
      <c r="H16" s="12">
        <v>0</v>
      </c>
      <c r="I16" s="12" t="s">
        <v>22</v>
      </c>
      <c r="J16" s="3" t="s">
        <v>18</v>
      </c>
      <c r="K16" s="1"/>
      <c r="L16" s="21"/>
    </row>
    <row r="17" spans="2:12">
      <c r="B17" s="9" t="s">
        <v>19</v>
      </c>
      <c r="C17" s="9" t="s">
        <v>31</v>
      </c>
      <c r="D17" s="2" t="s">
        <v>38</v>
      </c>
      <c r="E17" s="2" t="s">
        <v>33</v>
      </c>
      <c r="F17" s="2" t="s">
        <v>34</v>
      </c>
      <c r="G17" s="3">
        <v>7</v>
      </c>
      <c r="H17" s="12">
        <v>0</v>
      </c>
      <c r="I17" s="12" t="s">
        <v>22</v>
      </c>
      <c r="J17" s="3" t="s">
        <v>18</v>
      </c>
      <c r="K17" s="1"/>
      <c r="L17" s="21"/>
    </row>
    <row r="18" spans="2:12">
      <c r="B18" s="9" t="s">
        <v>19</v>
      </c>
      <c r="C18" s="9" t="s">
        <v>31</v>
      </c>
      <c r="D18" s="2" t="s">
        <v>34</v>
      </c>
      <c r="E18" s="2" t="s">
        <v>33</v>
      </c>
      <c r="F18" s="2" t="s">
        <v>34</v>
      </c>
      <c r="G18" s="3">
        <v>2</v>
      </c>
      <c r="H18" s="12">
        <v>1</v>
      </c>
      <c r="I18" s="12" t="s">
        <v>22</v>
      </c>
      <c r="J18" s="3" t="s">
        <v>18</v>
      </c>
      <c r="K18" s="1"/>
      <c r="L18" s="21"/>
    </row>
    <row r="19" spans="2:12">
      <c r="B19" s="9" t="s">
        <v>19</v>
      </c>
      <c r="C19" s="10" t="s">
        <v>31</v>
      </c>
      <c r="D19" s="2" t="s">
        <v>30</v>
      </c>
      <c r="E19" s="2" t="s">
        <v>33</v>
      </c>
      <c r="F19" s="2" t="s">
        <v>34</v>
      </c>
      <c r="G19" s="3">
        <v>7</v>
      </c>
      <c r="H19" s="12">
        <v>0</v>
      </c>
      <c r="I19" s="12" t="s">
        <v>22</v>
      </c>
      <c r="J19" s="3" t="s">
        <v>18</v>
      </c>
      <c r="K19" s="1"/>
      <c r="L19" s="21"/>
    </row>
    <row r="20" spans="2:12">
      <c r="B20" s="9" t="s">
        <v>19</v>
      </c>
      <c r="C20" s="6" t="s">
        <v>39</v>
      </c>
      <c r="D20" s="1" t="s">
        <v>40</v>
      </c>
      <c r="E20" s="1" t="s">
        <v>21</v>
      </c>
      <c r="F20" s="1"/>
      <c r="G20" s="3"/>
      <c r="H20" s="12"/>
      <c r="I20" s="12" t="s">
        <v>22</v>
      </c>
      <c r="J20" s="3" t="s">
        <v>18</v>
      </c>
      <c r="K20" s="1"/>
      <c r="L20" s="21"/>
    </row>
    <row r="21" spans="2:12">
      <c r="B21" s="9" t="s">
        <v>19</v>
      </c>
      <c r="C21" s="9" t="s">
        <v>41</v>
      </c>
      <c r="D21" s="1" t="s">
        <v>23</v>
      </c>
      <c r="E21" s="1" t="s">
        <v>21</v>
      </c>
      <c r="F21" s="1"/>
      <c r="G21" s="3"/>
      <c r="H21" s="12"/>
      <c r="I21" s="12" t="s">
        <v>22</v>
      </c>
      <c r="J21" s="3" t="s">
        <v>18</v>
      </c>
      <c r="K21" s="1"/>
      <c r="L21" s="21"/>
    </row>
    <row r="22" spans="2:12">
      <c r="B22" s="9" t="s">
        <v>19</v>
      </c>
      <c r="C22" s="9" t="s">
        <v>41</v>
      </c>
      <c r="D22" s="1" t="s">
        <v>42</v>
      </c>
      <c r="E22" s="1" t="s">
        <v>21</v>
      </c>
      <c r="F22" s="1"/>
      <c r="G22" s="3"/>
      <c r="H22" s="12"/>
      <c r="I22" s="12" t="s">
        <v>22</v>
      </c>
      <c r="J22" s="3" t="s">
        <v>18</v>
      </c>
      <c r="K22" s="1"/>
      <c r="L22" s="21"/>
    </row>
    <row r="23" spans="2:12">
      <c r="B23" s="9" t="s">
        <v>19</v>
      </c>
      <c r="C23" s="9" t="s">
        <v>41</v>
      </c>
      <c r="D23" s="1" t="s">
        <v>25</v>
      </c>
      <c r="E23" s="1" t="s">
        <v>21</v>
      </c>
      <c r="F23" s="1"/>
      <c r="G23" s="3"/>
      <c r="H23" s="12"/>
      <c r="I23" s="12" t="s">
        <v>22</v>
      </c>
      <c r="J23" s="3" t="s">
        <v>18</v>
      </c>
      <c r="K23" s="1"/>
      <c r="L23" s="21"/>
    </row>
    <row r="24" spans="2:12">
      <c r="B24" s="9" t="s">
        <v>19</v>
      </c>
      <c r="C24" s="9" t="s">
        <v>41</v>
      </c>
      <c r="D24" s="2" t="s">
        <v>43</v>
      </c>
      <c r="E24" s="2" t="s">
        <v>21</v>
      </c>
      <c r="F24" s="2"/>
      <c r="G24" s="3"/>
      <c r="H24" s="12"/>
      <c r="I24" s="12" t="s">
        <v>22</v>
      </c>
      <c r="J24" s="3" t="s">
        <v>18</v>
      </c>
      <c r="K24" s="1"/>
      <c r="L24" s="21"/>
    </row>
    <row r="25" spans="2:12">
      <c r="B25" s="9" t="s">
        <v>19</v>
      </c>
      <c r="C25" s="9" t="s">
        <v>41</v>
      </c>
      <c r="D25" s="2" t="s">
        <v>23</v>
      </c>
      <c r="E25" s="2" t="s">
        <v>21</v>
      </c>
      <c r="F25" s="2"/>
      <c r="G25" s="3"/>
      <c r="H25" s="12"/>
      <c r="I25" s="12" t="s">
        <v>22</v>
      </c>
      <c r="J25" s="3" t="s">
        <v>18</v>
      </c>
      <c r="K25" s="1"/>
      <c r="L25" s="21"/>
    </row>
    <row r="26" spans="2:12">
      <c r="B26" s="9" t="s">
        <v>19</v>
      </c>
      <c r="C26" s="9" t="s">
        <v>41</v>
      </c>
      <c r="D26" s="2" t="s">
        <v>44</v>
      </c>
      <c r="E26" s="2" t="s">
        <v>21</v>
      </c>
      <c r="F26" s="2"/>
      <c r="G26" s="3"/>
      <c r="H26" s="12"/>
      <c r="I26" s="12" t="s">
        <v>22</v>
      </c>
      <c r="J26" s="3" t="s">
        <v>18</v>
      </c>
      <c r="K26" s="1"/>
      <c r="L26" s="21"/>
    </row>
    <row r="27" spans="2:12">
      <c r="B27" s="9" t="s">
        <v>19</v>
      </c>
      <c r="C27" s="9" t="s">
        <v>41</v>
      </c>
      <c r="D27" s="2" t="s">
        <v>25</v>
      </c>
      <c r="E27" s="2" t="s">
        <v>21</v>
      </c>
      <c r="F27" s="2"/>
      <c r="G27" s="3"/>
      <c r="H27" s="12"/>
      <c r="I27" s="12" t="s">
        <v>22</v>
      </c>
      <c r="J27" s="3" t="s">
        <v>18</v>
      </c>
      <c r="K27" s="1"/>
      <c r="L27" s="21"/>
    </row>
    <row r="28" spans="2:12">
      <c r="B28" s="9" t="s">
        <v>19</v>
      </c>
      <c r="C28" s="9" t="s">
        <v>41</v>
      </c>
      <c r="D28" s="1" t="s">
        <v>43</v>
      </c>
      <c r="E28" s="1" t="s">
        <v>21</v>
      </c>
      <c r="F28" s="1"/>
      <c r="G28" s="3"/>
      <c r="H28" s="12"/>
      <c r="I28" s="12" t="s">
        <v>22</v>
      </c>
      <c r="J28" s="3" t="s">
        <v>18</v>
      </c>
      <c r="K28" s="1"/>
      <c r="L28" s="21"/>
    </row>
    <row r="29" spans="2:12">
      <c r="B29" s="9" t="s">
        <v>19</v>
      </c>
      <c r="C29" s="9" t="s">
        <v>41</v>
      </c>
      <c r="D29" s="1" t="s">
        <v>23</v>
      </c>
      <c r="E29" s="1" t="s">
        <v>21</v>
      </c>
      <c r="F29" s="1"/>
      <c r="G29" s="3"/>
      <c r="H29" s="12"/>
      <c r="I29" s="12" t="s">
        <v>22</v>
      </c>
      <c r="J29" s="3" t="s">
        <v>18</v>
      </c>
      <c r="K29" s="1"/>
      <c r="L29" s="21"/>
    </row>
    <row r="30" spans="2:12">
      <c r="B30" s="9" t="s">
        <v>19</v>
      </c>
      <c r="C30" s="9" t="s">
        <v>41</v>
      </c>
      <c r="D30" s="1" t="s">
        <v>45</v>
      </c>
      <c r="E30" s="1" t="s">
        <v>21</v>
      </c>
      <c r="F30" s="1"/>
      <c r="G30" s="3"/>
      <c r="H30" s="12"/>
      <c r="I30" s="12" t="s">
        <v>22</v>
      </c>
      <c r="J30" s="3" t="s">
        <v>18</v>
      </c>
      <c r="K30" s="1"/>
      <c r="L30" s="21"/>
    </row>
    <row r="31" spans="2:12">
      <c r="B31" s="9" t="s">
        <v>19</v>
      </c>
      <c r="C31" s="10" t="s">
        <v>41</v>
      </c>
      <c r="D31" s="1" t="s">
        <v>25</v>
      </c>
      <c r="E31" s="1" t="s">
        <v>21</v>
      </c>
      <c r="F31" s="1"/>
      <c r="G31" s="3"/>
      <c r="H31" s="12"/>
      <c r="I31" s="12" t="s">
        <v>22</v>
      </c>
      <c r="J31" s="3" t="s">
        <v>18</v>
      </c>
      <c r="K31" s="1"/>
      <c r="L31" s="21"/>
    </row>
    <row r="32" spans="2:12">
      <c r="B32" s="9" t="s">
        <v>19</v>
      </c>
      <c r="C32" s="6" t="s">
        <v>46</v>
      </c>
      <c r="D32" s="2" t="s">
        <v>44</v>
      </c>
      <c r="E32" s="2" t="s">
        <v>33</v>
      </c>
      <c r="F32" s="2" t="s">
        <v>47</v>
      </c>
      <c r="G32" s="3">
        <v>5</v>
      </c>
      <c r="H32" s="12">
        <v>0</v>
      </c>
      <c r="I32" s="12" t="s">
        <v>22</v>
      </c>
      <c r="J32" s="3" t="s">
        <v>18</v>
      </c>
      <c r="K32" s="1"/>
      <c r="L32" s="21"/>
    </row>
    <row r="33" spans="2:12">
      <c r="B33" s="9" t="s">
        <v>19</v>
      </c>
      <c r="C33" s="16" t="s">
        <v>46</v>
      </c>
      <c r="D33" s="2" t="s">
        <v>32</v>
      </c>
      <c r="E33" s="2" t="s">
        <v>33</v>
      </c>
      <c r="F33" s="2" t="s">
        <v>47</v>
      </c>
      <c r="G33" s="3">
        <v>1</v>
      </c>
      <c r="H33" s="12">
        <v>1</v>
      </c>
      <c r="I33" s="12" t="s">
        <v>22</v>
      </c>
      <c r="J33" s="3" t="s">
        <v>18</v>
      </c>
      <c r="K33" s="1"/>
      <c r="L33" s="21"/>
    </row>
    <row r="34" spans="2:12">
      <c r="B34" s="9" t="s">
        <v>19</v>
      </c>
      <c r="C34" s="16" t="s">
        <v>46</v>
      </c>
      <c r="D34" s="2" t="s">
        <v>35</v>
      </c>
      <c r="E34" s="2" t="s">
        <v>33</v>
      </c>
      <c r="F34" s="2" t="s">
        <v>47</v>
      </c>
      <c r="G34" s="3">
        <v>2</v>
      </c>
      <c r="H34" s="12">
        <v>1</v>
      </c>
      <c r="I34" s="12" t="s">
        <v>22</v>
      </c>
      <c r="J34" s="3" t="s">
        <v>18</v>
      </c>
      <c r="K34" s="1"/>
      <c r="L34" s="21"/>
    </row>
    <row r="35" spans="2:12">
      <c r="B35" s="9" t="s">
        <v>19</v>
      </c>
      <c r="C35" s="16" t="s">
        <v>46</v>
      </c>
      <c r="D35" s="2" t="s">
        <v>48</v>
      </c>
      <c r="E35" s="2" t="s">
        <v>33</v>
      </c>
      <c r="F35" s="2" t="s">
        <v>47</v>
      </c>
      <c r="G35" s="3">
        <v>3</v>
      </c>
      <c r="H35" s="12">
        <v>1</v>
      </c>
      <c r="I35" s="12" t="s">
        <v>22</v>
      </c>
      <c r="J35" s="3" t="s">
        <v>18</v>
      </c>
      <c r="K35" s="1"/>
      <c r="L35" s="21"/>
    </row>
    <row r="36" spans="2:12">
      <c r="B36" s="9" t="s">
        <v>19</v>
      </c>
      <c r="C36" s="16" t="s">
        <v>46</v>
      </c>
      <c r="D36" s="2" t="s">
        <v>37</v>
      </c>
      <c r="E36" s="2" t="s">
        <v>33</v>
      </c>
      <c r="F36" s="2" t="s">
        <v>47</v>
      </c>
      <c r="G36" s="3">
        <v>1</v>
      </c>
      <c r="H36" s="12">
        <v>0</v>
      </c>
      <c r="I36" s="12" t="s">
        <v>22</v>
      </c>
      <c r="J36" s="3" t="s">
        <v>18</v>
      </c>
      <c r="K36" s="1"/>
      <c r="L36" s="21"/>
    </row>
    <row r="37" spans="2:12">
      <c r="B37" s="9" t="s">
        <v>19</v>
      </c>
      <c r="C37" s="16" t="s">
        <v>46</v>
      </c>
      <c r="D37" s="2" t="s">
        <v>49</v>
      </c>
      <c r="E37" s="2" t="s">
        <v>33</v>
      </c>
      <c r="F37" s="2" t="s">
        <v>47</v>
      </c>
      <c r="G37" s="3">
        <v>7</v>
      </c>
      <c r="H37" s="12">
        <v>0</v>
      </c>
      <c r="I37" s="12" t="s">
        <v>22</v>
      </c>
      <c r="J37" s="3" t="s">
        <v>18</v>
      </c>
      <c r="K37" s="1"/>
      <c r="L37" s="21"/>
    </row>
    <row r="38" spans="2:12">
      <c r="B38" s="9" t="s">
        <v>19</v>
      </c>
      <c r="C38" s="17" t="s">
        <v>46</v>
      </c>
      <c r="D38" s="2" t="s">
        <v>50</v>
      </c>
      <c r="E38" s="2" t="s">
        <v>33</v>
      </c>
      <c r="F38" s="2" t="s">
        <v>47</v>
      </c>
      <c r="G38" s="3">
        <v>7</v>
      </c>
      <c r="H38" s="12">
        <v>1</v>
      </c>
      <c r="I38" s="12" t="s">
        <v>22</v>
      </c>
      <c r="J38" s="3" t="s">
        <v>18</v>
      </c>
      <c r="K38" s="1"/>
      <c r="L38" s="21"/>
    </row>
    <row r="39" spans="2:12">
      <c r="B39" s="9" t="s">
        <v>19</v>
      </c>
      <c r="C39" s="6" t="s">
        <v>51</v>
      </c>
      <c r="D39" s="1" t="s">
        <v>42</v>
      </c>
      <c r="E39" s="1" t="s">
        <v>33</v>
      </c>
      <c r="F39" s="1" t="s">
        <v>52</v>
      </c>
      <c r="G39" s="3">
        <v>4</v>
      </c>
      <c r="H39" s="12">
        <v>0</v>
      </c>
      <c r="I39" s="12" t="s">
        <v>22</v>
      </c>
      <c r="J39" s="3" t="s">
        <v>18</v>
      </c>
      <c r="K39" s="1"/>
      <c r="L39" s="21"/>
    </row>
    <row r="40" spans="2:12">
      <c r="B40" s="9" t="s">
        <v>19</v>
      </c>
      <c r="C40" s="16" t="s">
        <v>53</v>
      </c>
      <c r="D40" s="1" t="s">
        <v>54</v>
      </c>
      <c r="E40" s="1" t="s">
        <v>33</v>
      </c>
      <c r="F40" s="1" t="s">
        <v>52</v>
      </c>
      <c r="G40" s="3">
        <v>1</v>
      </c>
      <c r="H40" s="12">
        <v>1</v>
      </c>
      <c r="I40" s="12" t="s">
        <v>22</v>
      </c>
      <c r="J40" s="3" t="s">
        <v>18</v>
      </c>
      <c r="K40" s="1"/>
      <c r="L40" s="21"/>
    </row>
    <row r="41" spans="2:12">
      <c r="B41" s="9" t="s">
        <v>19</v>
      </c>
      <c r="C41" s="16" t="s">
        <v>53</v>
      </c>
      <c r="D41" s="1" t="s">
        <v>35</v>
      </c>
      <c r="E41" s="1" t="s">
        <v>33</v>
      </c>
      <c r="F41" s="1" t="s">
        <v>52</v>
      </c>
      <c r="G41" s="3">
        <v>2</v>
      </c>
      <c r="H41" s="12">
        <v>1</v>
      </c>
      <c r="I41" s="12" t="s">
        <v>22</v>
      </c>
      <c r="J41" s="3" t="s">
        <v>18</v>
      </c>
      <c r="K41" s="1"/>
      <c r="L41" s="21"/>
    </row>
    <row r="42" spans="2:12">
      <c r="B42" s="9" t="s">
        <v>19</v>
      </c>
      <c r="C42" s="16" t="s">
        <v>53</v>
      </c>
      <c r="D42" s="1" t="s">
        <v>55</v>
      </c>
      <c r="E42" s="1" t="s">
        <v>33</v>
      </c>
      <c r="F42" s="1" t="s">
        <v>52</v>
      </c>
      <c r="G42" s="3">
        <v>3</v>
      </c>
      <c r="H42" s="12">
        <v>1</v>
      </c>
      <c r="I42" s="12" t="s">
        <v>22</v>
      </c>
      <c r="J42" s="3" t="s">
        <v>18</v>
      </c>
      <c r="K42" s="1"/>
      <c r="L42" s="21"/>
    </row>
    <row r="43" spans="2:12">
      <c r="B43" s="9" t="s">
        <v>19</v>
      </c>
      <c r="C43" s="16" t="s">
        <v>53</v>
      </c>
      <c r="D43" s="1" t="s">
        <v>37</v>
      </c>
      <c r="E43" s="1" t="s">
        <v>33</v>
      </c>
      <c r="F43" s="1" t="s">
        <v>52</v>
      </c>
      <c r="G43" s="3">
        <v>2</v>
      </c>
      <c r="H43" s="12">
        <v>0</v>
      </c>
      <c r="I43" s="12" t="s">
        <v>22</v>
      </c>
      <c r="J43" s="3" t="s">
        <v>18</v>
      </c>
      <c r="K43" s="1"/>
      <c r="L43" s="21"/>
    </row>
    <row r="44" spans="2:12">
      <c r="B44" s="9" t="s">
        <v>19</v>
      </c>
      <c r="C44" s="16" t="s">
        <v>53</v>
      </c>
      <c r="D44" s="1" t="s">
        <v>56</v>
      </c>
      <c r="E44" s="1" t="s">
        <v>33</v>
      </c>
      <c r="F44" s="1" t="s">
        <v>52</v>
      </c>
      <c r="G44" s="3">
        <v>4</v>
      </c>
      <c r="H44" s="12">
        <v>0</v>
      </c>
      <c r="I44" s="12" t="s">
        <v>22</v>
      </c>
      <c r="J44" s="3" t="s">
        <v>18</v>
      </c>
      <c r="K44" s="1"/>
      <c r="L44" s="21"/>
    </row>
    <row r="45" spans="2:12">
      <c r="B45" s="9"/>
      <c r="C45" s="16" t="s">
        <v>53</v>
      </c>
      <c r="D45" s="1" t="s">
        <v>54</v>
      </c>
      <c r="E45" s="1" t="s">
        <v>33</v>
      </c>
      <c r="F45" s="1" t="s">
        <v>52</v>
      </c>
      <c r="G45" s="3">
        <v>1</v>
      </c>
      <c r="H45" s="12">
        <v>1</v>
      </c>
      <c r="I45" s="12" t="s">
        <v>22</v>
      </c>
      <c r="J45" s="3" t="s">
        <v>18</v>
      </c>
      <c r="K45" s="1"/>
      <c r="L45" s="21"/>
    </row>
    <row r="46" spans="2:12">
      <c r="B46" s="9" t="s">
        <v>19</v>
      </c>
      <c r="C46" s="16" t="s">
        <v>53</v>
      </c>
      <c r="D46" s="1" t="s">
        <v>35</v>
      </c>
      <c r="E46" s="1" t="s">
        <v>33</v>
      </c>
      <c r="F46" s="1" t="s">
        <v>52</v>
      </c>
      <c r="G46" s="3">
        <v>2</v>
      </c>
      <c r="H46" s="12">
        <v>1</v>
      </c>
      <c r="I46" s="12" t="s">
        <v>22</v>
      </c>
      <c r="J46" s="3" t="s">
        <v>18</v>
      </c>
      <c r="K46" s="1"/>
      <c r="L46" s="21"/>
    </row>
    <row r="47" spans="2:12">
      <c r="B47" s="9" t="s">
        <v>19</v>
      </c>
      <c r="C47" s="16" t="s">
        <v>53</v>
      </c>
      <c r="D47" s="1" t="s">
        <v>57</v>
      </c>
      <c r="E47" s="1" t="s">
        <v>33</v>
      </c>
      <c r="F47" s="1" t="s">
        <v>52</v>
      </c>
      <c r="G47" s="3">
        <v>2</v>
      </c>
      <c r="H47" s="12">
        <v>1</v>
      </c>
      <c r="I47" s="12" t="s">
        <v>22</v>
      </c>
      <c r="J47" s="3" t="s">
        <v>18</v>
      </c>
      <c r="K47" s="1"/>
      <c r="L47" s="21"/>
    </row>
    <row r="48" spans="2:12">
      <c r="B48" s="9" t="s">
        <v>19</v>
      </c>
      <c r="C48" s="17" t="s">
        <v>53</v>
      </c>
      <c r="D48" s="1" t="s">
        <v>37</v>
      </c>
      <c r="E48" s="1" t="s">
        <v>33</v>
      </c>
      <c r="F48" s="1" t="s">
        <v>52</v>
      </c>
      <c r="G48" s="3">
        <v>2</v>
      </c>
      <c r="H48" s="12">
        <v>0</v>
      </c>
      <c r="I48" s="12" t="s">
        <v>22</v>
      </c>
      <c r="J48" s="3" t="s">
        <v>18</v>
      </c>
      <c r="K48" s="1"/>
      <c r="L48" s="21"/>
    </row>
    <row r="49" spans="2:12">
      <c r="B49" s="9" t="s">
        <v>19</v>
      </c>
      <c r="C49" s="6" t="s">
        <v>58</v>
      </c>
      <c r="D49" s="2" t="s">
        <v>30</v>
      </c>
      <c r="E49" s="2" t="s">
        <v>33</v>
      </c>
      <c r="F49" s="2" t="s">
        <v>59</v>
      </c>
      <c r="G49" s="3">
        <v>4</v>
      </c>
      <c r="H49" s="12">
        <v>0</v>
      </c>
      <c r="I49" s="12" t="s">
        <v>22</v>
      </c>
      <c r="J49" s="3" t="s">
        <v>18</v>
      </c>
      <c r="K49" s="1"/>
      <c r="L49" s="21"/>
    </row>
    <row r="50" spans="2:12">
      <c r="B50" s="9" t="s">
        <v>19</v>
      </c>
      <c r="C50" s="9" t="s">
        <v>60</v>
      </c>
      <c r="D50" s="2" t="s">
        <v>54</v>
      </c>
      <c r="E50" s="2" t="s">
        <v>33</v>
      </c>
      <c r="F50" s="2" t="s">
        <v>59</v>
      </c>
      <c r="G50" s="3">
        <v>1</v>
      </c>
      <c r="H50" s="12">
        <v>1</v>
      </c>
      <c r="I50" s="12" t="s">
        <v>22</v>
      </c>
      <c r="J50" s="3" t="s">
        <v>18</v>
      </c>
      <c r="K50" s="1"/>
      <c r="L50" s="21"/>
    </row>
    <row r="51" spans="2:12">
      <c r="B51" s="9" t="s">
        <v>19</v>
      </c>
      <c r="C51" s="9" t="s">
        <v>60</v>
      </c>
      <c r="D51" s="2" t="s">
        <v>35</v>
      </c>
      <c r="E51" s="2" t="s">
        <v>33</v>
      </c>
      <c r="F51" s="2" t="s">
        <v>59</v>
      </c>
      <c r="G51" s="3">
        <v>1</v>
      </c>
      <c r="H51" s="12">
        <v>1</v>
      </c>
      <c r="I51" s="12" t="s">
        <v>22</v>
      </c>
      <c r="J51" s="3" t="s">
        <v>18</v>
      </c>
      <c r="K51" s="1"/>
      <c r="L51" s="21"/>
    </row>
    <row r="52" spans="2:12">
      <c r="B52" s="9" t="s">
        <v>19</v>
      </c>
      <c r="C52" s="9" t="s">
        <v>60</v>
      </c>
      <c r="D52" s="2" t="s">
        <v>61</v>
      </c>
      <c r="E52" s="2" t="s">
        <v>33</v>
      </c>
      <c r="F52" s="2" t="s">
        <v>59</v>
      </c>
      <c r="G52" s="3">
        <v>4</v>
      </c>
      <c r="H52" s="12">
        <v>8</v>
      </c>
      <c r="I52" s="12" t="s">
        <v>22</v>
      </c>
      <c r="J52" s="3" t="s">
        <v>18</v>
      </c>
      <c r="K52" s="1"/>
      <c r="L52" s="21"/>
    </row>
    <row r="53" spans="2:12">
      <c r="B53" s="9" t="s">
        <v>19</v>
      </c>
      <c r="C53" s="9" t="s">
        <v>60</v>
      </c>
      <c r="D53" s="2" t="s">
        <v>37</v>
      </c>
      <c r="E53" s="2" t="s">
        <v>33</v>
      </c>
      <c r="F53" s="2" t="s">
        <v>59</v>
      </c>
      <c r="G53" s="3">
        <v>1</v>
      </c>
      <c r="H53" s="12">
        <v>0</v>
      </c>
      <c r="I53" s="12" t="s">
        <v>22</v>
      </c>
      <c r="J53" s="3" t="s">
        <v>18</v>
      </c>
      <c r="K53" s="1"/>
      <c r="L53" s="21"/>
    </row>
    <row r="54" spans="2:12">
      <c r="B54" s="9" t="s">
        <v>19</v>
      </c>
      <c r="C54" s="9" t="s">
        <v>60</v>
      </c>
      <c r="D54" s="2" t="s">
        <v>62</v>
      </c>
      <c r="E54" s="2" t="s">
        <v>33</v>
      </c>
      <c r="F54" s="2" t="s">
        <v>59</v>
      </c>
      <c r="G54" s="3">
        <v>2</v>
      </c>
      <c r="H54" s="12">
        <v>0</v>
      </c>
      <c r="I54" s="12" t="s">
        <v>22</v>
      </c>
      <c r="J54" s="3" t="s">
        <v>18</v>
      </c>
      <c r="K54" s="1"/>
      <c r="L54" s="21"/>
    </row>
    <row r="55" spans="2:12">
      <c r="B55" s="9" t="s">
        <v>19</v>
      </c>
      <c r="C55" s="9" t="s">
        <v>60</v>
      </c>
      <c r="D55" s="2" t="s">
        <v>35</v>
      </c>
      <c r="E55" s="2" t="s">
        <v>33</v>
      </c>
      <c r="F55" s="2" t="s">
        <v>59</v>
      </c>
      <c r="G55" s="3">
        <v>3</v>
      </c>
      <c r="H55" s="12">
        <v>1</v>
      </c>
      <c r="I55" s="12" t="s">
        <v>22</v>
      </c>
      <c r="J55" s="3" t="s">
        <v>18</v>
      </c>
      <c r="K55" s="1"/>
      <c r="L55" s="21"/>
    </row>
    <row r="56" spans="2:12">
      <c r="B56" s="9" t="s">
        <v>19</v>
      </c>
      <c r="C56" s="9" t="s">
        <v>60</v>
      </c>
      <c r="D56" s="2" t="s">
        <v>63</v>
      </c>
      <c r="E56" s="2" t="s">
        <v>33</v>
      </c>
      <c r="F56" s="2" t="s">
        <v>59</v>
      </c>
      <c r="G56" s="3">
        <v>4</v>
      </c>
      <c r="H56" s="12">
        <v>1</v>
      </c>
      <c r="I56" s="12" t="s">
        <v>22</v>
      </c>
      <c r="J56" s="3" t="s">
        <v>18</v>
      </c>
      <c r="K56" s="1"/>
      <c r="L56" s="21"/>
    </row>
    <row r="57" spans="2:12">
      <c r="B57" s="9" t="s">
        <v>19</v>
      </c>
      <c r="C57" s="9" t="s">
        <v>60</v>
      </c>
      <c r="D57" s="2" t="s">
        <v>37</v>
      </c>
      <c r="E57" s="2" t="s">
        <v>33</v>
      </c>
      <c r="F57" s="2" t="s">
        <v>59</v>
      </c>
      <c r="G57" s="3">
        <v>5</v>
      </c>
      <c r="H57" s="12">
        <v>0</v>
      </c>
      <c r="I57" s="12" t="s">
        <v>22</v>
      </c>
      <c r="J57" s="3" t="s">
        <v>18</v>
      </c>
      <c r="K57" s="1"/>
      <c r="L57" s="21"/>
    </row>
    <row r="58" spans="2:12">
      <c r="B58" s="9" t="s">
        <v>19</v>
      </c>
      <c r="C58" s="6" t="s">
        <v>64</v>
      </c>
      <c r="D58" s="18" t="s">
        <v>30</v>
      </c>
      <c r="E58" s="18" t="s">
        <v>33</v>
      </c>
      <c r="F58" s="18" t="s">
        <v>65</v>
      </c>
      <c r="G58" s="3">
        <v>4</v>
      </c>
      <c r="H58" s="12">
        <v>0</v>
      </c>
      <c r="I58" s="12" t="s">
        <v>22</v>
      </c>
      <c r="J58" s="3" t="s">
        <v>18</v>
      </c>
      <c r="K58" s="1"/>
      <c r="L58" s="21"/>
    </row>
    <row r="59" spans="2:12">
      <c r="B59" s="9" t="s">
        <v>19</v>
      </c>
      <c r="C59" s="9" t="s">
        <v>66</v>
      </c>
      <c r="D59" s="18" t="s">
        <v>54</v>
      </c>
      <c r="E59" s="18" t="s">
        <v>33</v>
      </c>
      <c r="F59" s="18" t="s">
        <v>65</v>
      </c>
      <c r="G59" s="3">
        <v>1</v>
      </c>
      <c r="H59" s="12">
        <v>1</v>
      </c>
      <c r="I59" s="12" t="s">
        <v>22</v>
      </c>
      <c r="J59" s="3" t="s">
        <v>18</v>
      </c>
      <c r="K59" s="1"/>
      <c r="L59" s="21"/>
    </row>
    <row r="60" spans="2:12">
      <c r="B60" s="9" t="s">
        <v>19</v>
      </c>
      <c r="C60" s="9" t="s">
        <v>66</v>
      </c>
      <c r="D60" s="18" t="s">
        <v>35</v>
      </c>
      <c r="E60" s="18" t="s">
        <v>33</v>
      </c>
      <c r="F60" s="18" t="s">
        <v>65</v>
      </c>
      <c r="G60" s="3">
        <v>1</v>
      </c>
      <c r="H60" s="12">
        <v>1</v>
      </c>
      <c r="I60" s="12" t="s">
        <v>22</v>
      </c>
      <c r="J60" s="3" t="s">
        <v>18</v>
      </c>
      <c r="K60" s="1"/>
      <c r="L60" s="21"/>
    </row>
    <row r="61" spans="2:12">
      <c r="B61" s="9" t="s">
        <v>19</v>
      </c>
      <c r="C61" s="9" t="s">
        <v>66</v>
      </c>
      <c r="D61" s="18" t="s">
        <v>61</v>
      </c>
      <c r="E61" s="18" t="s">
        <v>33</v>
      </c>
      <c r="F61" s="18" t="s">
        <v>65</v>
      </c>
      <c r="G61" s="3">
        <v>4</v>
      </c>
      <c r="H61" s="12">
        <v>8</v>
      </c>
      <c r="I61" s="12" t="s">
        <v>22</v>
      </c>
      <c r="J61" s="3" t="s">
        <v>18</v>
      </c>
      <c r="K61" s="1"/>
      <c r="L61" s="21"/>
    </row>
    <row r="62" spans="2:12">
      <c r="B62" s="9" t="s">
        <v>19</v>
      </c>
      <c r="C62" s="9" t="s">
        <v>66</v>
      </c>
      <c r="D62" s="18" t="s">
        <v>37</v>
      </c>
      <c r="E62" s="18" t="s">
        <v>33</v>
      </c>
      <c r="F62" s="18" t="s">
        <v>65</v>
      </c>
      <c r="G62" s="3">
        <v>1</v>
      </c>
      <c r="H62" s="12">
        <v>0</v>
      </c>
      <c r="I62" s="12" t="s">
        <v>22</v>
      </c>
      <c r="J62" s="3" t="s">
        <v>18</v>
      </c>
      <c r="K62" s="1"/>
      <c r="L62" s="21"/>
    </row>
    <row r="63" spans="2:12">
      <c r="B63" s="9" t="s">
        <v>19</v>
      </c>
      <c r="C63" s="9" t="s">
        <v>66</v>
      </c>
      <c r="D63" s="18" t="s">
        <v>67</v>
      </c>
      <c r="E63" s="18" t="s">
        <v>33</v>
      </c>
      <c r="F63" s="18" t="s">
        <v>65</v>
      </c>
      <c r="G63" s="3">
        <v>2</v>
      </c>
      <c r="H63" s="12">
        <v>0</v>
      </c>
      <c r="I63" s="12" t="s">
        <v>22</v>
      </c>
      <c r="J63" s="3" t="s">
        <v>18</v>
      </c>
      <c r="K63" s="1"/>
      <c r="L63" s="21"/>
    </row>
    <row r="64" spans="2:12">
      <c r="B64" s="9" t="s">
        <v>19</v>
      </c>
      <c r="C64" s="9" t="s">
        <v>66</v>
      </c>
      <c r="D64" s="18" t="s">
        <v>35</v>
      </c>
      <c r="E64" s="18" t="s">
        <v>33</v>
      </c>
      <c r="F64" s="18" t="s">
        <v>65</v>
      </c>
      <c r="G64" s="3">
        <v>3</v>
      </c>
      <c r="H64" s="12">
        <v>1</v>
      </c>
      <c r="I64" s="12" t="s">
        <v>22</v>
      </c>
      <c r="J64" s="3" t="s">
        <v>18</v>
      </c>
      <c r="K64" s="1"/>
      <c r="L64" s="21"/>
    </row>
    <row r="65" spans="2:12">
      <c r="B65" s="9" t="s">
        <v>19</v>
      </c>
      <c r="C65" s="9" t="s">
        <v>66</v>
      </c>
      <c r="D65" s="18" t="s">
        <v>63</v>
      </c>
      <c r="E65" s="18" t="s">
        <v>33</v>
      </c>
      <c r="F65" s="18" t="s">
        <v>65</v>
      </c>
      <c r="G65" s="3">
        <v>4</v>
      </c>
      <c r="H65" s="12">
        <v>1</v>
      </c>
      <c r="I65" s="12" t="s">
        <v>22</v>
      </c>
      <c r="J65" s="3" t="s">
        <v>18</v>
      </c>
      <c r="K65" s="1"/>
      <c r="L65" s="21"/>
    </row>
    <row r="66" spans="2:12">
      <c r="B66" s="9" t="s">
        <v>19</v>
      </c>
      <c r="C66" s="9" t="s">
        <v>66</v>
      </c>
      <c r="D66" s="18" t="s">
        <v>37</v>
      </c>
      <c r="E66" s="18" t="s">
        <v>33</v>
      </c>
      <c r="F66" s="18" t="s">
        <v>65</v>
      </c>
      <c r="G66" s="3">
        <v>5</v>
      </c>
      <c r="H66" s="12">
        <v>0</v>
      </c>
      <c r="I66" s="12" t="s">
        <v>22</v>
      </c>
      <c r="J66" s="3" t="s">
        <v>18</v>
      </c>
      <c r="K66" s="1"/>
      <c r="L66" s="21"/>
    </row>
    <row r="67" spans="2:12">
      <c r="B67" s="9" t="s">
        <v>19</v>
      </c>
      <c r="C67" s="6" t="s">
        <v>68</v>
      </c>
      <c r="D67" s="2" t="s">
        <v>30</v>
      </c>
      <c r="E67" s="2" t="s">
        <v>33</v>
      </c>
      <c r="F67" s="2" t="s">
        <v>68</v>
      </c>
      <c r="G67" s="3">
        <v>4</v>
      </c>
      <c r="H67" s="12">
        <v>0</v>
      </c>
      <c r="I67" s="12" t="s">
        <v>22</v>
      </c>
      <c r="J67" s="3" t="s">
        <v>18</v>
      </c>
      <c r="K67" s="1"/>
      <c r="L67" s="21"/>
    </row>
    <row r="68" spans="2:12">
      <c r="B68" s="9" t="s">
        <v>19</v>
      </c>
      <c r="C68" s="9" t="s">
        <v>69</v>
      </c>
      <c r="D68" s="2" t="s">
        <v>54</v>
      </c>
      <c r="E68" s="2" t="s">
        <v>33</v>
      </c>
      <c r="F68" s="2" t="s">
        <v>68</v>
      </c>
      <c r="G68" s="3">
        <v>1</v>
      </c>
      <c r="H68" s="12">
        <v>1</v>
      </c>
      <c r="I68" s="12" t="s">
        <v>22</v>
      </c>
      <c r="J68" s="3" t="s">
        <v>18</v>
      </c>
      <c r="K68" s="1"/>
      <c r="L68" s="21"/>
    </row>
    <row r="69" spans="2:12">
      <c r="B69" s="9" t="s">
        <v>19</v>
      </c>
      <c r="C69" s="9" t="s">
        <v>69</v>
      </c>
      <c r="D69" s="2" t="s">
        <v>35</v>
      </c>
      <c r="E69" s="2" t="s">
        <v>33</v>
      </c>
      <c r="F69" s="2" t="s">
        <v>68</v>
      </c>
      <c r="G69" s="3">
        <v>1</v>
      </c>
      <c r="H69" s="12">
        <v>1</v>
      </c>
      <c r="I69" s="12" t="s">
        <v>22</v>
      </c>
      <c r="J69" s="3" t="s">
        <v>18</v>
      </c>
      <c r="K69" s="1"/>
      <c r="L69" s="21"/>
    </row>
    <row r="70" spans="2:12">
      <c r="B70" s="9" t="s">
        <v>19</v>
      </c>
      <c r="C70" s="9" t="s">
        <v>69</v>
      </c>
      <c r="D70" s="2" t="s">
        <v>70</v>
      </c>
      <c r="E70" s="2" t="s">
        <v>33</v>
      </c>
      <c r="F70" s="2" t="s">
        <v>68</v>
      </c>
      <c r="G70" s="3">
        <v>3</v>
      </c>
      <c r="H70" s="12">
        <v>1</v>
      </c>
      <c r="I70" s="12" t="s">
        <v>22</v>
      </c>
      <c r="J70" s="3" t="s">
        <v>18</v>
      </c>
      <c r="K70" s="1"/>
      <c r="L70" s="21"/>
    </row>
    <row r="71" spans="2:12">
      <c r="B71" s="9" t="s">
        <v>19</v>
      </c>
      <c r="C71" s="9" t="s">
        <v>69</v>
      </c>
      <c r="D71" s="2" t="s">
        <v>37</v>
      </c>
      <c r="E71" s="2" t="s">
        <v>33</v>
      </c>
      <c r="F71" s="2" t="s">
        <v>68</v>
      </c>
      <c r="G71" s="3">
        <v>2</v>
      </c>
      <c r="H71" s="12">
        <v>0</v>
      </c>
      <c r="I71" s="12" t="s">
        <v>22</v>
      </c>
      <c r="J71" s="3" t="s">
        <v>18</v>
      </c>
      <c r="K71" s="1"/>
      <c r="L71" s="21"/>
    </row>
    <row r="72" spans="2:12">
      <c r="B72" s="9"/>
      <c r="C72" s="9" t="s">
        <v>69</v>
      </c>
      <c r="D72" s="2" t="s">
        <v>67</v>
      </c>
      <c r="E72" s="2" t="s">
        <v>33</v>
      </c>
      <c r="F72" s="2" t="s">
        <v>68</v>
      </c>
      <c r="G72" s="3">
        <v>2</v>
      </c>
      <c r="H72" s="12">
        <v>0</v>
      </c>
      <c r="I72" s="12" t="s">
        <v>22</v>
      </c>
      <c r="J72" s="3" t="s">
        <v>18</v>
      </c>
      <c r="K72" s="1"/>
      <c r="L72" s="21"/>
    </row>
    <row r="73" spans="2:12">
      <c r="B73" s="9"/>
      <c r="C73" s="9" t="s">
        <v>69</v>
      </c>
      <c r="D73" s="2" t="s">
        <v>35</v>
      </c>
      <c r="E73" s="2" t="s">
        <v>33</v>
      </c>
      <c r="F73" s="2" t="s">
        <v>68</v>
      </c>
      <c r="G73" s="3">
        <v>3</v>
      </c>
      <c r="H73" s="12">
        <v>1</v>
      </c>
      <c r="I73" s="12" t="s">
        <v>22</v>
      </c>
      <c r="J73" s="3" t="s">
        <v>18</v>
      </c>
      <c r="K73" s="1"/>
      <c r="L73" s="21"/>
    </row>
    <row r="74" spans="2:12">
      <c r="B74" s="9"/>
      <c r="C74" s="9" t="s">
        <v>69</v>
      </c>
      <c r="D74" s="2" t="s">
        <v>63</v>
      </c>
      <c r="E74" s="2" t="s">
        <v>33</v>
      </c>
      <c r="F74" s="2" t="s">
        <v>68</v>
      </c>
      <c r="G74" s="3">
        <v>4</v>
      </c>
      <c r="H74" s="12">
        <v>1</v>
      </c>
      <c r="I74" s="12" t="s">
        <v>22</v>
      </c>
      <c r="J74" s="3" t="s">
        <v>18</v>
      </c>
      <c r="K74" s="1"/>
      <c r="L74" s="21"/>
    </row>
    <row r="75" spans="2:12">
      <c r="B75" s="9" t="s">
        <v>19</v>
      </c>
      <c r="C75" s="10" t="s">
        <v>69</v>
      </c>
      <c r="D75" s="2" t="s">
        <v>37</v>
      </c>
      <c r="E75" s="2" t="s">
        <v>33</v>
      </c>
      <c r="F75" s="2" t="s">
        <v>68</v>
      </c>
      <c r="G75" s="3">
        <v>5</v>
      </c>
      <c r="H75" s="12">
        <v>0</v>
      </c>
      <c r="I75" s="12" t="s">
        <v>22</v>
      </c>
      <c r="J75" s="3" t="s">
        <v>18</v>
      </c>
      <c r="K75" s="1"/>
      <c r="L75" s="21"/>
    </row>
    <row r="76" spans="2:12">
      <c r="B76" s="9" t="s">
        <v>19</v>
      </c>
      <c r="C76" s="6" t="s">
        <v>71</v>
      </c>
      <c r="D76" s="18" t="s">
        <v>72</v>
      </c>
      <c r="E76" s="18" t="s">
        <v>33</v>
      </c>
      <c r="F76" s="18" t="s">
        <v>73</v>
      </c>
      <c r="G76" s="3">
        <v>8</v>
      </c>
      <c r="H76" s="12">
        <v>1</v>
      </c>
      <c r="I76" s="12" t="s">
        <v>22</v>
      </c>
      <c r="J76" s="3" t="s">
        <v>18</v>
      </c>
      <c r="K76" s="1"/>
      <c r="L76" s="21"/>
    </row>
    <row r="77" spans="2:12">
      <c r="B77" s="9" t="s">
        <v>19</v>
      </c>
      <c r="C77" s="9" t="s">
        <v>74</v>
      </c>
      <c r="D77" s="18" t="s">
        <v>75</v>
      </c>
      <c r="E77" s="18" t="s">
        <v>33</v>
      </c>
      <c r="F77" s="18" t="s">
        <v>73</v>
      </c>
      <c r="G77" s="3">
        <v>2</v>
      </c>
      <c r="H77" s="12">
        <v>1</v>
      </c>
      <c r="I77" s="12" t="s">
        <v>22</v>
      </c>
      <c r="J77" s="3" t="s">
        <v>18</v>
      </c>
      <c r="K77" s="1"/>
      <c r="L77" s="21"/>
    </row>
    <row r="78" spans="2:12">
      <c r="B78" s="9" t="s">
        <v>19</v>
      </c>
      <c r="C78" s="9" t="s">
        <v>74</v>
      </c>
      <c r="D78" s="18" t="s">
        <v>76</v>
      </c>
      <c r="E78" s="18" t="s">
        <v>33</v>
      </c>
      <c r="F78" s="18" t="s">
        <v>73</v>
      </c>
      <c r="G78" s="3">
        <v>1</v>
      </c>
      <c r="H78" s="12">
        <v>0</v>
      </c>
      <c r="I78" s="12" t="s">
        <v>22</v>
      </c>
      <c r="J78" s="3" t="s">
        <v>18</v>
      </c>
      <c r="K78" s="1"/>
      <c r="L78" s="21"/>
    </row>
    <row r="79" spans="2:12">
      <c r="B79" s="9" t="s">
        <v>19</v>
      </c>
      <c r="C79" s="9" t="s">
        <v>74</v>
      </c>
      <c r="D79" s="18" t="s">
        <v>77</v>
      </c>
      <c r="E79" s="18" t="s">
        <v>33</v>
      </c>
      <c r="F79" s="18" t="s">
        <v>73</v>
      </c>
      <c r="G79" s="3">
        <v>7</v>
      </c>
      <c r="H79" s="12">
        <v>0</v>
      </c>
      <c r="I79" s="12" t="s">
        <v>22</v>
      </c>
      <c r="J79" s="3" t="s">
        <v>18</v>
      </c>
      <c r="K79" s="1"/>
      <c r="L79" s="21"/>
    </row>
    <row r="80" spans="2:12">
      <c r="B80" s="9" t="s">
        <v>19</v>
      </c>
      <c r="C80" s="9" t="s">
        <v>74</v>
      </c>
      <c r="D80" s="18" t="s">
        <v>78</v>
      </c>
      <c r="E80" s="18" t="s">
        <v>33</v>
      </c>
      <c r="F80" s="18" t="s">
        <v>73</v>
      </c>
      <c r="G80" s="3">
        <v>3</v>
      </c>
      <c r="H80" s="12">
        <v>1</v>
      </c>
      <c r="I80" s="12" t="s">
        <v>22</v>
      </c>
      <c r="J80" s="3" t="s">
        <v>18</v>
      </c>
      <c r="K80" s="1"/>
      <c r="L80" s="21"/>
    </row>
    <row r="81" spans="2:12">
      <c r="B81" s="9"/>
      <c r="C81" s="9" t="s">
        <v>74</v>
      </c>
      <c r="D81" s="18" t="s">
        <v>79</v>
      </c>
      <c r="E81" s="18" t="s">
        <v>33</v>
      </c>
      <c r="F81" s="18" t="s">
        <v>73</v>
      </c>
      <c r="G81" s="3">
        <v>7</v>
      </c>
      <c r="H81" s="12">
        <v>0</v>
      </c>
      <c r="I81" s="12" t="s">
        <v>22</v>
      </c>
      <c r="J81" s="3" t="s">
        <v>18</v>
      </c>
      <c r="K81" s="1"/>
      <c r="L81" s="21"/>
    </row>
    <row r="82" spans="2:12">
      <c r="B82" s="9" t="s">
        <v>19</v>
      </c>
      <c r="C82" s="6" t="s">
        <v>80</v>
      </c>
      <c r="D82" s="2" t="s">
        <v>49</v>
      </c>
      <c r="E82" s="2" t="s">
        <v>33</v>
      </c>
      <c r="F82" s="2" t="s">
        <v>81</v>
      </c>
      <c r="G82" s="3">
        <v>7</v>
      </c>
      <c r="H82" s="12">
        <v>0</v>
      </c>
      <c r="I82" s="12" t="s">
        <v>22</v>
      </c>
      <c r="J82" s="3" t="s">
        <v>18</v>
      </c>
      <c r="K82" s="1"/>
      <c r="L82" s="21"/>
    </row>
    <row r="83" spans="2:12">
      <c r="B83" s="9" t="s">
        <v>19</v>
      </c>
      <c r="C83" s="9" t="s">
        <v>82</v>
      </c>
      <c r="D83" s="2" t="s">
        <v>83</v>
      </c>
      <c r="E83" s="2" t="s">
        <v>33</v>
      </c>
      <c r="F83" s="2" t="s">
        <v>81</v>
      </c>
      <c r="G83" s="3">
        <v>1</v>
      </c>
      <c r="H83" s="12">
        <v>1</v>
      </c>
      <c r="I83" s="12" t="s">
        <v>22</v>
      </c>
      <c r="J83" s="3" t="s">
        <v>18</v>
      </c>
      <c r="K83" s="1"/>
      <c r="L83" s="21"/>
    </row>
    <row r="84" spans="2:12">
      <c r="B84" s="9" t="s">
        <v>19</v>
      </c>
      <c r="C84" s="9" t="s">
        <v>82</v>
      </c>
      <c r="D84" s="2" t="s">
        <v>84</v>
      </c>
      <c r="E84" s="2" t="s">
        <v>33</v>
      </c>
      <c r="F84" s="2" t="s">
        <v>81</v>
      </c>
      <c r="G84" s="3">
        <v>2</v>
      </c>
      <c r="H84" s="12">
        <v>1</v>
      </c>
      <c r="I84" s="12" t="s">
        <v>22</v>
      </c>
      <c r="J84" s="3" t="s">
        <v>18</v>
      </c>
      <c r="K84" s="1"/>
      <c r="L84" s="21"/>
    </row>
    <row r="85" spans="2:12">
      <c r="B85" s="9" t="s">
        <v>19</v>
      </c>
      <c r="C85" s="9" t="s">
        <v>82</v>
      </c>
      <c r="D85" s="2" t="s">
        <v>85</v>
      </c>
      <c r="E85" s="2" t="s">
        <v>33</v>
      </c>
      <c r="F85" s="2" t="s">
        <v>81</v>
      </c>
      <c r="G85" s="3">
        <v>3</v>
      </c>
      <c r="H85" s="12">
        <v>1</v>
      </c>
      <c r="I85" s="12" t="s">
        <v>22</v>
      </c>
      <c r="J85" s="3" t="s">
        <v>18</v>
      </c>
      <c r="K85" s="1"/>
      <c r="L85" s="21"/>
    </row>
    <row r="86" spans="2:12">
      <c r="B86" s="9" t="s">
        <v>19</v>
      </c>
      <c r="C86" s="9" t="s">
        <v>82</v>
      </c>
      <c r="D86" s="2" t="s">
        <v>76</v>
      </c>
      <c r="E86" s="2" t="s">
        <v>33</v>
      </c>
      <c r="F86" s="2" t="s">
        <v>81</v>
      </c>
      <c r="G86" s="3">
        <v>1</v>
      </c>
      <c r="H86" s="12">
        <v>0</v>
      </c>
      <c r="I86" s="12" t="s">
        <v>22</v>
      </c>
      <c r="J86" s="3" t="s">
        <v>18</v>
      </c>
      <c r="K86" s="1"/>
      <c r="L86" s="21"/>
    </row>
    <row r="87" spans="2:12">
      <c r="B87" s="9" t="s">
        <v>19</v>
      </c>
      <c r="C87" s="9" t="s">
        <v>82</v>
      </c>
      <c r="D87" s="2" t="s">
        <v>86</v>
      </c>
      <c r="E87" s="2" t="s">
        <v>33</v>
      </c>
      <c r="F87" s="2" t="s">
        <v>81</v>
      </c>
      <c r="G87" s="3">
        <v>7</v>
      </c>
      <c r="H87" s="12">
        <v>0</v>
      </c>
      <c r="I87" s="12" t="s">
        <v>22</v>
      </c>
      <c r="J87" s="3" t="s">
        <v>18</v>
      </c>
      <c r="K87" s="1"/>
      <c r="L87" s="21"/>
    </row>
    <row r="88" spans="2:12">
      <c r="B88" s="9" t="s">
        <v>19</v>
      </c>
      <c r="C88" s="9" t="s">
        <v>82</v>
      </c>
      <c r="D88" s="2" t="s">
        <v>87</v>
      </c>
      <c r="E88" s="2" t="s">
        <v>33</v>
      </c>
      <c r="F88" s="2" t="s">
        <v>81</v>
      </c>
      <c r="G88" s="3">
        <v>8</v>
      </c>
      <c r="H88" s="12">
        <v>1</v>
      </c>
      <c r="I88" s="12" t="s">
        <v>22</v>
      </c>
      <c r="J88" s="3" t="s">
        <v>18</v>
      </c>
      <c r="K88" s="1"/>
      <c r="L88" s="21"/>
    </row>
    <row r="89" spans="2:12">
      <c r="B89" s="9" t="s">
        <v>19</v>
      </c>
      <c r="C89" s="9" t="s">
        <v>82</v>
      </c>
      <c r="D89" s="2" t="s">
        <v>88</v>
      </c>
      <c r="E89" s="2" t="s">
        <v>33</v>
      </c>
      <c r="F89" s="2" t="s">
        <v>81</v>
      </c>
      <c r="G89" s="3">
        <v>5</v>
      </c>
      <c r="H89" s="12">
        <v>1</v>
      </c>
      <c r="I89" s="12" t="s">
        <v>22</v>
      </c>
      <c r="J89" s="3" t="s">
        <v>18</v>
      </c>
      <c r="K89" s="1"/>
      <c r="L89" s="21"/>
    </row>
    <row r="90" spans="2:12">
      <c r="B90" s="9" t="s">
        <v>19</v>
      </c>
      <c r="C90" s="9" t="s">
        <v>82</v>
      </c>
      <c r="D90" s="2" t="s">
        <v>37</v>
      </c>
      <c r="E90" s="2" t="s">
        <v>33</v>
      </c>
      <c r="F90" s="2" t="s">
        <v>81</v>
      </c>
      <c r="G90" s="3">
        <v>1</v>
      </c>
      <c r="H90" s="12">
        <v>0</v>
      </c>
      <c r="I90" s="12" t="s">
        <v>22</v>
      </c>
      <c r="J90" s="3" t="s">
        <v>18</v>
      </c>
      <c r="K90" s="1"/>
      <c r="L90" s="21"/>
    </row>
    <row r="91" spans="2:12">
      <c r="B91" s="9" t="s">
        <v>19</v>
      </c>
      <c r="C91" s="9" t="s">
        <v>82</v>
      </c>
      <c r="D91" s="2" t="s">
        <v>89</v>
      </c>
      <c r="E91" s="2" t="s">
        <v>33</v>
      </c>
      <c r="F91" s="2" t="s">
        <v>81</v>
      </c>
      <c r="G91" s="3">
        <v>0</v>
      </c>
      <c r="H91" s="12">
        <v>0</v>
      </c>
      <c r="I91" s="12" t="s">
        <v>22</v>
      </c>
      <c r="J91" s="3" t="s">
        <v>18</v>
      </c>
      <c r="K91" s="1"/>
      <c r="L91" s="21"/>
    </row>
    <row r="92" spans="2:12">
      <c r="B92" s="9" t="s">
        <v>19</v>
      </c>
      <c r="C92" s="9" t="s">
        <v>82</v>
      </c>
      <c r="D92" s="2" t="s">
        <v>23</v>
      </c>
      <c r="E92" s="2" t="s">
        <v>21</v>
      </c>
      <c r="F92" s="2" t="s">
        <v>81</v>
      </c>
      <c r="G92" s="3"/>
      <c r="H92" s="12"/>
      <c r="I92" s="12" t="s">
        <v>22</v>
      </c>
      <c r="J92" s="3" t="s">
        <v>18</v>
      </c>
      <c r="K92" s="1"/>
      <c r="L92" s="21"/>
    </row>
    <row r="93" spans="2:12">
      <c r="B93" s="9" t="s">
        <v>19</v>
      </c>
      <c r="C93" s="9" t="s">
        <v>82</v>
      </c>
      <c r="D93" s="2" t="s">
        <v>90</v>
      </c>
      <c r="E93" s="2" t="s">
        <v>21</v>
      </c>
      <c r="F93" s="2" t="s">
        <v>81</v>
      </c>
      <c r="G93" s="3"/>
      <c r="H93" s="12"/>
      <c r="I93" s="12" t="s">
        <v>22</v>
      </c>
      <c r="J93" s="3" t="s">
        <v>18</v>
      </c>
      <c r="K93" s="1"/>
      <c r="L93" s="21"/>
    </row>
    <row r="94" spans="2:12">
      <c r="B94" s="9" t="s">
        <v>19</v>
      </c>
      <c r="C94" s="9" t="s">
        <v>82</v>
      </c>
      <c r="D94" s="2" t="s">
        <v>25</v>
      </c>
      <c r="E94" s="2" t="s">
        <v>21</v>
      </c>
      <c r="F94" s="2" t="s">
        <v>81</v>
      </c>
      <c r="G94" s="3"/>
      <c r="H94" s="12"/>
      <c r="I94" s="12" t="s">
        <v>22</v>
      </c>
      <c r="J94" s="3" t="s">
        <v>18</v>
      </c>
      <c r="K94" s="1"/>
      <c r="L94" s="21"/>
    </row>
    <row r="95" spans="2:12">
      <c r="B95" s="9" t="s">
        <v>19</v>
      </c>
      <c r="C95" s="6" t="s">
        <v>91</v>
      </c>
      <c r="D95" s="1" t="s">
        <v>30</v>
      </c>
      <c r="E95" s="1" t="s">
        <v>33</v>
      </c>
      <c r="F95" s="1" t="s">
        <v>91</v>
      </c>
      <c r="G95" s="3" t="s">
        <v>92</v>
      </c>
      <c r="H95" s="12">
        <v>0</v>
      </c>
      <c r="I95" s="12" t="s">
        <v>22</v>
      </c>
      <c r="J95" s="3" t="s">
        <v>93</v>
      </c>
      <c r="K95" s="1" t="s">
        <v>94</v>
      </c>
      <c r="L95" s="21"/>
    </row>
    <row r="96" spans="2:12">
      <c r="B96" s="9" t="s">
        <v>19</v>
      </c>
      <c r="C96" s="9" t="s">
        <v>91</v>
      </c>
      <c r="D96" s="1" t="s">
        <v>95</v>
      </c>
      <c r="E96" s="1" t="s">
        <v>33</v>
      </c>
      <c r="F96" s="1" t="s">
        <v>91</v>
      </c>
      <c r="G96" s="3" t="s">
        <v>92</v>
      </c>
      <c r="H96" s="12">
        <v>0</v>
      </c>
      <c r="I96" s="12" t="s">
        <v>22</v>
      </c>
      <c r="J96" s="3" t="s">
        <v>93</v>
      </c>
      <c r="K96" s="1" t="s">
        <v>94</v>
      </c>
      <c r="L96" s="21"/>
    </row>
    <row r="97" spans="2:12">
      <c r="B97" s="9" t="s">
        <v>19</v>
      </c>
      <c r="C97" s="9" t="s">
        <v>91</v>
      </c>
      <c r="D97" s="1" t="s">
        <v>96</v>
      </c>
      <c r="E97" s="1" t="s">
        <v>33</v>
      </c>
      <c r="F97" s="1" t="s">
        <v>91</v>
      </c>
      <c r="G97" s="3" t="s">
        <v>92</v>
      </c>
      <c r="H97" s="12">
        <v>0</v>
      </c>
      <c r="I97" s="12" t="s">
        <v>22</v>
      </c>
      <c r="J97" s="3" t="s">
        <v>93</v>
      </c>
      <c r="K97" s="1" t="s">
        <v>94</v>
      </c>
      <c r="L97" s="21"/>
    </row>
    <row r="98" spans="2:12">
      <c r="B98" s="9" t="s">
        <v>19</v>
      </c>
      <c r="C98" s="9" t="s">
        <v>91</v>
      </c>
      <c r="D98" s="1" t="s">
        <v>97</v>
      </c>
      <c r="E98" s="1" t="s">
        <v>33</v>
      </c>
      <c r="F98" s="1" t="s">
        <v>91</v>
      </c>
      <c r="G98" s="3" t="s">
        <v>92</v>
      </c>
      <c r="H98" s="12">
        <v>0</v>
      </c>
      <c r="I98" s="12" t="s">
        <v>22</v>
      </c>
      <c r="J98" s="3" t="s">
        <v>93</v>
      </c>
      <c r="K98" s="1" t="s">
        <v>94</v>
      </c>
      <c r="L98" s="21"/>
    </row>
    <row r="99" spans="2:12">
      <c r="B99" s="9" t="s">
        <v>19</v>
      </c>
      <c r="C99" s="9" t="s">
        <v>91</v>
      </c>
      <c r="D99" s="1" t="s">
        <v>98</v>
      </c>
      <c r="E99" s="1" t="s">
        <v>33</v>
      </c>
      <c r="F99" s="1" t="s">
        <v>91</v>
      </c>
      <c r="G99" s="3" t="s">
        <v>92</v>
      </c>
      <c r="H99" s="12">
        <v>0</v>
      </c>
      <c r="I99" s="12" t="s">
        <v>22</v>
      </c>
      <c r="J99" s="3" t="s">
        <v>93</v>
      </c>
      <c r="K99" s="1" t="s">
        <v>94</v>
      </c>
      <c r="L99" s="21"/>
    </row>
    <row r="100" spans="2:12">
      <c r="B100" s="9" t="s">
        <v>19</v>
      </c>
      <c r="C100" s="9" t="s">
        <v>91</v>
      </c>
      <c r="D100" s="1" t="s">
        <v>99</v>
      </c>
      <c r="E100" s="1" t="s">
        <v>33</v>
      </c>
      <c r="F100" s="1" t="s">
        <v>91</v>
      </c>
      <c r="G100" s="3" t="s">
        <v>92</v>
      </c>
      <c r="H100" s="12">
        <v>0</v>
      </c>
      <c r="I100" s="12" t="s">
        <v>22</v>
      </c>
      <c r="J100" s="3" t="s">
        <v>93</v>
      </c>
      <c r="K100" s="1" t="s">
        <v>94</v>
      </c>
      <c r="L100" s="21"/>
    </row>
    <row r="101" spans="2:12">
      <c r="B101" s="9" t="s">
        <v>19</v>
      </c>
      <c r="C101" s="9" t="s">
        <v>91</v>
      </c>
      <c r="D101" s="1" t="s">
        <v>100</v>
      </c>
      <c r="E101" s="1" t="s">
        <v>33</v>
      </c>
      <c r="F101" s="1" t="s">
        <v>91</v>
      </c>
      <c r="G101" s="3" t="s">
        <v>92</v>
      </c>
      <c r="H101" s="12">
        <v>0</v>
      </c>
      <c r="I101" s="12" t="s">
        <v>22</v>
      </c>
      <c r="J101" s="3" t="s">
        <v>93</v>
      </c>
      <c r="K101" s="1" t="s">
        <v>94</v>
      </c>
      <c r="L101" s="21"/>
    </row>
    <row r="102" spans="2:12">
      <c r="B102" s="9" t="s">
        <v>19</v>
      </c>
      <c r="C102" s="9" t="s">
        <v>91</v>
      </c>
      <c r="D102" s="1" t="s">
        <v>101</v>
      </c>
      <c r="E102" s="1" t="s">
        <v>33</v>
      </c>
      <c r="F102" s="1" t="s">
        <v>91</v>
      </c>
      <c r="G102" s="3" t="s">
        <v>92</v>
      </c>
      <c r="H102" s="12">
        <v>0</v>
      </c>
      <c r="I102" s="12" t="s">
        <v>22</v>
      </c>
      <c r="J102" s="3" t="s">
        <v>93</v>
      </c>
      <c r="K102" s="1" t="s">
        <v>94</v>
      </c>
      <c r="L102" s="21"/>
    </row>
    <row r="103" spans="2:12">
      <c r="B103" s="9" t="s">
        <v>19</v>
      </c>
      <c r="C103" s="9" t="s">
        <v>91</v>
      </c>
      <c r="D103" s="1" t="s">
        <v>102</v>
      </c>
      <c r="E103" s="1" t="s">
        <v>33</v>
      </c>
      <c r="F103" s="1" t="s">
        <v>91</v>
      </c>
      <c r="G103" s="3" t="s">
        <v>92</v>
      </c>
      <c r="H103" s="12">
        <v>0</v>
      </c>
      <c r="I103" s="12" t="s">
        <v>22</v>
      </c>
      <c r="J103" s="3" t="s">
        <v>93</v>
      </c>
      <c r="K103" s="1" t="s">
        <v>94</v>
      </c>
      <c r="L103" s="21"/>
    </row>
    <row r="104" spans="2:12">
      <c r="B104" s="9" t="s">
        <v>19</v>
      </c>
      <c r="C104" s="9" t="s">
        <v>91</v>
      </c>
      <c r="D104" s="1" t="s">
        <v>103</v>
      </c>
      <c r="E104" s="1" t="s">
        <v>33</v>
      </c>
      <c r="F104" s="1" t="s">
        <v>91</v>
      </c>
      <c r="G104" s="3" t="s">
        <v>92</v>
      </c>
      <c r="H104" s="12">
        <v>0</v>
      </c>
      <c r="I104" s="12" t="s">
        <v>22</v>
      </c>
      <c r="J104" s="3" t="s">
        <v>93</v>
      </c>
      <c r="K104" s="1" t="s">
        <v>94</v>
      </c>
      <c r="L104" s="21"/>
    </row>
    <row r="105" spans="2:12">
      <c r="B105" s="9" t="s">
        <v>19</v>
      </c>
      <c r="C105" s="9" t="s">
        <v>91</v>
      </c>
      <c r="D105" s="1" t="s">
        <v>104</v>
      </c>
      <c r="E105" s="1" t="s">
        <v>33</v>
      </c>
      <c r="F105" s="1" t="s">
        <v>91</v>
      </c>
      <c r="G105" s="3" t="s">
        <v>92</v>
      </c>
      <c r="H105" s="12">
        <v>0</v>
      </c>
      <c r="I105" s="12" t="s">
        <v>22</v>
      </c>
      <c r="J105" s="3" t="s">
        <v>93</v>
      </c>
      <c r="K105" s="1" t="s">
        <v>94</v>
      </c>
      <c r="L105" s="21"/>
    </row>
    <row r="106" spans="2:12">
      <c r="B106" s="10" t="s">
        <v>19</v>
      </c>
      <c r="C106" s="10" t="s">
        <v>91</v>
      </c>
      <c r="D106" s="1" t="s">
        <v>30</v>
      </c>
      <c r="E106" s="1" t="s">
        <v>33</v>
      </c>
      <c r="F106" s="1" t="s">
        <v>91</v>
      </c>
      <c r="G106" s="3" t="s">
        <v>92</v>
      </c>
      <c r="H106" s="12">
        <v>0</v>
      </c>
      <c r="I106" s="12" t="s">
        <v>22</v>
      </c>
      <c r="J106" s="3" t="s">
        <v>93</v>
      </c>
      <c r="K106" s="1" t="s">
        <v>94</v>
      </c>
      <c r="L106" s="21"/>
    </row>
    <row r="107" spans="2:12">
      <c r="B107" s="19"/>
      <c r="C107" s="19"/>
      <c r="D107" s="20"/>
      <c r="E107" s="20"/>
      <c r="F107" s="20"/>
      <c r="G107" s="20"/>
      <c r="H107" s="20"/>
      <c r="I107" s="21"/>
      <c r="J107" s="21"/>
      <c r="K107" s="21"/>
      <c r="L107" s="21"/>
    </row>
    <row r="108" spans="2:12">
      <c r="F108" s="25" t="s">
        <v>105</v>
      </c>
      <c r="G108" s="3" t="s">
        <v>106</v>
      </c>
      <c r="H108" s="25" t="s">
        <v>107</v>
      </c>
      <c r="I108" s="3" t="s">
        <v>108</v>
      </c>
      <c r="J108" s="3" t="s">
        <v>109</v>
      </c>
      <c r="K108" s="3" t="s">
        <v>110</v>
      </c>
      <c r="L108" s="21"/>
    </row>
    <row r="109" spans="2:12">
      <c r="F109" s="3" t="s">
        <v>34</v>
      </c>
      <c r="G109" s="23">
        <f t="shared" ref="G109:G117" si="0">SUMIF($F$13:$F$106,F109,$G$13:$G$106)</f>
        <v>26</v>
      </c>
      <c r="H109" s="23">
        <f t="shared" ref="H109:H117" si="1">SUMIF($F$13:$F$106,F109,$H$13:$H$106)</f>
        <v>4</v>
      </c>
      <c r="I109" s="25">
        <v>1</v>
      </c>
      <c r="J109" s="25">
        <f t="shared" ref="J109:J117" si="2">G109*I109</f>
        <v>26</v>
      </c>
      <c r="K109" s="25">
        <f t="shared" ref="K109:K117" si="3">H109*I109</f>
        <v>4</v>
      </c>
    </row>
    <row r="110" spans="2:12">
      <c r="F110" s="3" t="s">
        <v>47</v>
      </c>
      <c r="G110" s="23">
        <f t="shared" si="0"/>
        <v>26</v>
      </c>
      <c r="H110" s="23">
        <f t="shared" si="1"/>
        <v>4</v>
      </c>
      <c r="I110" s="25">
        <v>3</v>
      </c>
      <c r="J110" s="25">
        <f t="shared" si="2"/>
        <v>78</v>
      </c>
      <c r="K110" s="25">
        <f t="shared" si="3"/>
        <v>12</v>
      </c>
    </row>
    <row r="111" spans="2:12">
      <c r="F111" s="3" t="s">
        <v>52</v>
      </c>
      <c r="G111" s="23">
        <f t="shared" si="0"/>
        <v>23</v>
      </c>
      <c r="H111" s="23">
        <f t="shared" si="1"/>
        <v>6</v>
      </c>
      <c r="I111" s="25">
        <v>1</v>
      </c>
      <c r="J111" s="28">
        <f t="shared" si="2"/>
        <v>23</v>
      </c>
      <c r="K111" s="28">
        <f t="shared" si="3"/>
        <v>6</v>
      </c>
    </row>
    <row r="112" spans="2:12">
      <c r="F112" s="3" t="s">
        <v>68</v>
      </c>
      <c r="G112" s="23">
        <f t="shared" si="0"/>
        <v>25</v>
      </c>
      <c r="H112" s="23">
        <f t="shared" si="1"/>
        <v>5</v>
      </c>
      <c r="I112" s="25">
        <v>5</v>
      </c>
      <c r="J112" s="28">
        <f t="shared" si="2"/>
        <v>125</v>
      </c>
      <c r="K112" s="28">
        <f t="shared" si="3"/>
        <v>25</v>
      </c>
    </row>
    <row r="113" spans="6:12">
      <c r="F113" s="24" t="s">
        <v>59</v>
      </c>
      <c r="G113" s="23">
        <f t="shared" si="0"/>
        <v>25</v>
      </c>
      <c r="H113" s="23">
        <f t="shared" si="1"/>
        <v>12</v>
      </c>
      <c r="I113" s="25">
        <v>2</v>
      </c>
      <c r="J113" s="28">
        <f t="shared" si="2"/>
        <v>50</v>
      </c>
      <c r="K113" s="28">
        <f t="shared" si="3"/>
        <v>24</v>
      </c>
    </row>
    <row r="114" spans="6:12">
      <c r="F114" s="24" t="s">
        <v>65</v>
      </c>
      <c r="G114" s="23">
        <f t="shared" si="0"/>
        <v>25</v>
      </c>
      <c r="H114" s="23">
        <f t="shared" si="1"/>
        <v>12</v>
      </c>
      <c r="I114" s="25">
        <v>6</v>
      </c>
      <c r="J114" s="28">
        <f t="shared" si="2"/>
        <v>150</v>
      </c>
      <c r="K114" s="28">
        <f t="shared" si="3"/>
        <v>72</v>
      </c>
    </row>
    <row r="115" spans="6:12">
      <c r="F115" s="3" t="s">
        <v>111</v>
      </c>
      <c r="G115" s="23">
        <f t="shared" si="0"/>
        <v>28</v>
      </c>
      <c r="H115" s="23">
        <f t="shared" si="1"/>
        <v>3</v>
      </c>
      <c r="I115" s="25">
        <v>1</v>
      </c>
      <c r="J115" s="25">
        <f t="shared" si="2"/>
        <v>28</v>
      </c>
      <c r="K115" s="25">
        <f t="shared" si="3"/>
        <v>3</v>
      </c>
    </row>
    <row r="116" spans="6:12">
      <c r="F116" s="3" t="s">
        <v>81</v>
      </c>
      <c r="G116" s="23">
        <f t="shared" si="0"/>
        <v>35</v>
      </c>
      <c r="H116" s="23">
        <f t="shared" si="1"/>
        <v>5</v>
      </c>
      <c r="I116" s="25">
        <v>3</v>
      </c>
      <c r="J116" s="25">
        <f t="shared" si="2"/>
        <v>105</v>
      </c>
      <c r="K116" s="25">
        <f t="shared" si="3"/>
        <v>15</v>
      </c>
    </row>
    <row r="117" spans="6:12">
      <c r="F117" s="3" t="s">
        <v>91</v>
      </c>
      <c r="G117" s="23">
        <f t="shared" si="0"/>
        <v>0</v>
      </c>
      <c r="H117" s="23">
        <f t="shared" si="1"/>
        <v>0</v>
      </c>
      <c r="I117" s="25">
        <v>0</v>
      </c>
      <c r="J117" s="25">
        <f t="shared" si="2"/>
        <v>0</v>
      </c>
      <c r="K117" s="25">
        <f t="shared" si="3"/>
        <v>0</v>
      </c>
    </row>
    <row r="118" spans="6:12">
      <c r="F118" s="14"/>
      <c r="G118" s="14"/>
      <c r="H118" s="14"/>
      <c r="I118" s="14"/>
      <c r="J118" s="14">
        <f t="shared" ref="J118:K118" si="4">SUM(J109:J117)</f>
        <v>585</v>
      </c>
      <c r="K118" s="14">
        <f t="shared" si="4"/>
        <v>161</v>
      </c>
      <c r="L118" s="14"/>
    </row>
    <row r="119" spans="6:12">
      <c r="F119" s="14"/>
      <c r="G119" s="14"/>
      <c r="H119" s="14"/>
    </row>
    <row r="121" spans="6:12">
      <c r="F121" s="14"/>
      <c r="J121" s="15">
        <f>J111+J112+J113+J114</f>
        <v>348</v>
      </c>
      <c r="K121" s="15">
        <f>K111+K112+K113+K114</f>
        <v>127</v>
      </c>
    </row>
    <row r="122" spans="6:12">
      <c r="F122" s="14"/>
    </row>
    <row r="123" spans="6:12">
      <c r="F123" s="14"/>
    </row>
    <row r="124" spans="6:12">
      <c r="F124" s="14"/>
    </row>
    <row r="125" spans="6:12">
      <c r="F125" s="14"/>
    </row>
    <row r="126" spans="6:12">
      <c r="F126" s="14"/>
    </row>
    <row r="127" spans="6:12">
      <c r="F127" s="14"/>
    </row>
  </sheetData>
  <autoFilter ref="B3:I106" xr:uid="{00000000-0009-0000-0000-000000000000}"/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B34-DC8D-4E39-9FBF-B7D4E457C7F3}">
  <dimension ref="B2:N48"/>
  <sheetViews>
    <sheetView showGridLines="0" zoomScale="70" zoomScaleNormal="70" workbookViewId="0">
      <selection activeCell="M112" sqref="M112"/>
    </sheetView>
  </sheetViews>
  <sheetFormatPr defaultRowHeight="17.100000000000001"/>
  <cols>
    <col min="2" max="2" width="12.5" style="15" bestFit="1" customWidth="1"/>
    <col min="3" max="3" width="63.375" style="15" bestFit="1" customWidth="1"/>
    <col min="4" max="4" width="27.625" style="15" customWidth="1"/>
    <col min="5" max="5" width="9.875" style="15" bestFit="1" customWidth="1"/>
    <col min="6" max="6" width="26" style="15" customWidth="1"/>
    <col min="7" max="7" width="16.5" style="15" bestFit="1" customWidth="1"/>
    <col min="8" max="8" width="16.5" style="15" customWidth="1"/>
    <col min="9" max="10" width="15.875" style="15" customWidth="1"/>
    <col min="11" max="11" width="32.625" style="15" bestFit="1" customWidth="1"/>
    <col min="12" max="12" width="15.875" style="15" customWidth="1"/>
    <col min="13" max="13" width="12.875" style="15" bestFit="1" customWidth="1"/>
    <col min="14" max="14" width="11.125" style="15" bestFit="1" customWidth="1"/>
  </cols>
  <sheetData>
    <row r="2" spans="2:12">
      <c r="I2" t="s">
        <v>0</v>
      </c>
      <c r="J2" t="s">
        <v>1</v>
      </c>
      <c r="L2"/>
    </row>
    <row r="3" spans="2:12" ht="27.6" customHeight="1"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26" t="s">
        <v>7</v>
      </c>
      <c r="H3" s="27" t="s">
        <v>8</v>
      </c>
      <c r="I3" s="11" t="s">
        <v>11</v>
      </c>
      <c r="J3" s="13" t="s">
        <v>12</v>
      </c>
      <c r="K3" s="5" t="s">
        <v>13</v>
      </c>
      <c r="L3" s="22"/>
    </row>
    <row r="4" spans="2:12">
      <c r="B4" s="6" t="s">
        <v>19</v>
      </c>
      <c r="C4" s="6" t="s">
        <v>15</v>
      </c>
      <c r="D4" s="1" t="s">
        <v>16</v>
      </c>
      <c r="E4" s="1" t="s">
        <v>17</v>
      </c>
      <c r="F4" s="1"/>
      <c r="G4" s="3"/>
      <c r="H4" s="12"/>
      <c r="I4" s="12" t="s">
        <v>18</v>
      </c>
      <c r="J4" s="3" t="s">
        <v>18</v>
      </c>
      <c r="K4" s="1"/>
      <c r="L4" s="21"/>
    </row>
    <row r="5" spans="2:12" s="15" customFormat="1">
      <c r="B5" s="9" t="s">
        <v>19</v>
      </c>
      <c r="C5" s="4" t="s">
        <v>26</v>
      </c>
      <c r="D5" s="1" t="s">
        <v>27</v>
      </c>
      <c r="E5" s="1" t="s">
        <v>28</v>
      </c>
      <c r="F5" s="1"/>
      <c r="G5" s="3"/>
      <c r="H5" s="12"/>
      <c r="I5" s="12" t="s">
        <v>22</v>
      </c>
      <c r="J5" s="3" t="s">
        <v>18</v>
      </c>
      <c r="K5" s="1"/>
      <c r="L5" s="21"/>
    </row>
    <row r="6" spans="2:12" s="15" customFormat="1">
      <c r="B6" s="9" t="s">
        <v>19</v>
      </c>
      <c r="C6" s="6" t="s">
        <v>29</v>
      </c>
      <c r="D6" s="1" t="s">
        <v>23</v>
      </c>
      <c r="E6" s="1" t="s">
        <v>21</v>
      </c>
      <c r="F6" s="1"/>
      <c r="G6" s="3"/>
      <c r="H6" s="12"/>
      <c r="I6" s="12" t="s">
        <v>22</v>
      </c>
      <c r="J6" s="3" t="s">
        <v>18</v>
      </c>
      <c r="K6" s="1"/>
      <c r="L6" s="21"/>
    </row>
    <row r="7" spans="2:12" s="15" customFormat="1">
      <c r="B7" s="9" t="s">
        <v>19</v>
      </c>
      <c r="C7" s="6" t="s">
        <v>31</v>
      </c>
      <c r="D7" s="2" t="s">
        <v>32</v>
      </c>
      <c r="E7" s="2" t="s">
        <v>33</v>
      </c>
      <c r="F7" s="2" t="s">
        <v>34</v>
      </c>
      <c r="G7" s="3">
        <v>1</v>
      </c>
      <c r="H7" s="12">
        <v>1</v>
      </c>
      <c r="I7" s="12" t="s">
        <v>22</v>
      </c>
      <c r="J7" s="3" t="s">
        <v>18</v>
      </c>
      <c r="K7" s="1"/>
      <c r="L7" s="21"/>
    </row>
    <row r="8" spans="2:12" s="15" customFormat="1">
      <c r="B8" s="9" t="s">
        <v>19</v>
      </c>
      <c r="C8" s="6" t="s">
        <v>39</v>
      </c>
      <c r="D8" s="1" t="s">
        <v>40</v>
      </c>
      <c r="E8" s="1" t="s">
        <v>21</v>
      </c>
      <c r="F8" s="1"/>
      <c r="G8" s="3"/>
      <c r="H8" s="12"/>
      <c r="I8" s="12" t="s">
        <v>22</v>
      </c>
      <c r="J8" s="3" t="s">
        <v>18</v>
      </c>
      <c r="K8" s="1"/>
      <c r="L8" s="21"/>
    </row>
    <row r="9" spans="2:12" s="15" customFormat="1">
      <c r="B9" s="9" t="s">
        <v>19</v>
      </c>
      <c r="C9" s="6" t="s">
        <v>46</v>
      </c>
      <c r="D9" s="2" t="s">
        <v>44</v>
      </c>
      <c r="E9" s="2" t="s">
        <v>33</v>
      </c>
      <c r="F9" s="2" t="s">
        <v>47</v>
      </c>
      <c r="G9" s="3">
        <v>5</v>
      </c>
      <c r="H9" s="12">
        <v>0</v>
      </c>
      <c r="I9" s="12" t="s">
        <v>22</v>
      </c>
      <c r="J9" s="3" t="s">
        <v>18</v>
      </c>
      <c r="K9" s="1"/>
      <c r="L9" s="21"/>
    </row>
    <row r="10" spans="2:12" s="15" customFormat="1">
      <c r="B10" s="9" t="s">
        <v>19</v>
      </c>
      <c r="C10" s="6" t="s">
        <v>51</v>
      </c>
      <c r="D10" s="1" t="s">
        <v>42</v>
      </c>
      <c r="E10" s="1" t="s">
        <v>33</v>
      </c>
      <c r="F10" s="1" t="s">
        <v>52</v>
      </c>
      <c r="G10" s="3">
        <v>4</v>
      </c>
      <c r="H10" s="12">
        <v>0</v>
      </c>
      <c r="I10" s="12" t="s">
        <v>22</v>
      </c>
      <c r="J10" s="3" t="s">
        <v>18</v>
      </c>
      <c r="K10" s="1"/>
      <c r="L10" s="21"/>
    </row>
    <row r="11" spans="2:12" s="15" customFormat="1">
      <c r="B11" s="9" t="s">
        <v>19</v>
      </c>
      <c r="C11" s="6" t="s">
        <v>58</v>
      </c>
      <c r="D11" s="2" t="s">
        <v>30</v>
      </c>
      <c r="E11" s="2" t="s">
        <v>33</v>
      </c>
      <c r="F11" s="2" t="s">
        <v>59</v>
      </c>
      <c r="G11" s="3">
        <v>4</v>
      </c>
      <c r="H11" s="12">
        <v>0</v>
      </c>
      <c r="I11" s="12" t="s">
        <v>22</v>
      </c>
      <c r="J11" s="3" t="s">
        <v>18</v>
      </c>
      <c r="K11" s="1"/>
      <c r="L11" s="21"/>
    </row>
    <row r="12" spans="2:12" s="15" customFormat="1">
      <c r="B12" s="9" t="s">
        <v>19</v>
      </c>
      <c r="C12" s="6" t="s">
        <v>64</v>
      </c>
      <c r="D12" s="18" t="s">
        <v>30</v>
      </c>
      <c r="E12" s="18" t="s">
        <v>33</v>
      </c>
      <c r="F12" s="18" t="s">
        <v>65</v>
      </c>
      <c r="G12" s="3">
        <v>4</v>
      </c>
      <c r="H12" s="12">
        <v>0</v>
      </c>
      <c r="I12" s="12" t="s">
        <v>22</v>
      </c>
      <c r="J12" s="3" t="s">
        <v>18</v>
      </c>
      <c r="K12" s="1"/>
      <c r="L12" s="21"/>
    </row>
    <row r="13" spans="2:12" s="15" customFormat="1">
      <c r="B13" s="9" t="s">
        <v>19</v>
      </c>
      <c r="C13" s="6" t="s">
        <v>68</v>
      </c>
      <c r="D13" s="2" t="s">
        <v>30</v>
      </c>
      <c r="E13" s="2" t="s">
        <v>33</v>
      </c>
      <c r="F13" s="2" t="s">
        <v>68</v>
      </c>
      <c r="G13" s="3">
        <v>4</v>
      </c>
      <c r="H13" s="12">
        <v>0</v>
      </c>
      <c r="I13" s="12" t="s">
        <v>22</v>
      </c>
      <c r="J13" s="3" t="s">
        <v>18</v>
      </c>
      <c r="K13" s="1"/>
      <c r="L13" s="21"/>
    </row>
    <row r="14" spans="2:12" s="15" customFormat="1">
      <c r="B14" s="9" t="s">
        <v>19</v>
      </c>
      <c r="C14" s="6" t="s">
        <v>71</v>
      </c>
      <c r="D14" s="18" t="s">
        <v>72</v>
      </c>
      <c r="E14" s="18" t="s">
        <v>33</v>
      </c>
      <c r="F14" s="18" t="s">
        <v>73</v>
      </c>
      <c r="G14" s="3">
        <v>8</v>
      </c>
      <c r="H14" s="12">
        <v>1</v>
      </c>
      <c r="I14" s="12" t="s">
        <v>22</v>
      </c>
      <c r="J14" s="3" t="s">
        <v>18</v>
      </c>
      <c r="K14" s="1"/>
      <c r="L14" s="21"/>
    </row>
    <row r="15" spans="2:12" s="15" customFormat="1">
      <c r="B15" s="9" t="s">
        <v>19</v>
      </c>
      <c r="C15" s="6" t="s">
        <v>80</v>
      </c>
      <c r="D15" s="2" t="s">
        <v>49</v>
      </c>
      <c r="E15" s="2" t="s">
        <v>33</v>
      </c>
      <c r="F15" s="2" t="s">
        <v>81</v>
      </c>
      <c r="G15" s="3">
        <v>7</v>
      </c>
      <c r="H15" s="12">
        <v>0</v>
      </c>
      <c r="I15" s="12" t="s">
        <v>22</v>
      </c>
      <c r="J15" s="3" t="s">
        <v>18</v>
      </c>
      <c r="K15" s="1"/>
      <c r="L15" s="21"/>
    </row>
    <row r="16" spans="2:12" s="15" customFormat="1">
      <c r="B16" s="9" t="s">
        <v>19</v>
      </c>
      <c r="C16" s="6" t="s">
        <v>91</v>
      </c>
      <c r="D16" s="1" t="s">
        <v>30</v>
      </c>
      <c r="E16" s="1" t="s">
        <v>33</v>
      </c>
      <c r="F16" s="1" t="s">
        <v>91</v>
      </c>
      <c r="G16" s="3" t="s">
        <v>92</v>
      </c>
      <c r="H16" s="12">
        <v>0</v>
      </c>
      <c r="I16" s="12" t="s">
        <v>22</v>
      </c>
      <c r="J16" s="3" t="s">
        <v>93</v>
      </c>
      <c r="K16" s="1" t="s">
        <v>94</v>
      </c>
      <c r="L16" s="21"/>
    </row>
    <row r="17" spans="2:12" s="15" customFormat="1">
      <c r="B17" s="9" t="s">
        <v>19</v>
      </c>
      <c r="C17" s="9" t="s">
        <v>91</v>
      </c>
      <c r="D17" s="1" t="s">
        <v>95</v>
      </c>
      <c r="E17" s="1" t="s">
        <v>33</v>
      </c>
      <c r="F17" s="1" t="s">
        <v>91</v>
      </c>
      <c r="G17" s="3" t="s">
        <v>92</v>
      </c>
      <c r="H17" s="12">
        <v>0</v>
      </c>
      <c r="I17" s="12" t="s">
        <v>22</v>
      </c>
      <c r="J17" s="3" t="s">
        <v>93</v>
      </c>
      <c r="K17" s="1" t="s">
        <v>94</v>
      </c>
      <c r="L17" s="21"/>
    </row>
    <row r="18" spans="2:12" s="15" customFormat="1">
      <c r="B18" s="9" t="s">
        <v>19</v>
      </c>
      <c r="C18" s="9" t="s">
        <v>91</v>
      </c>
      <c r="D18" s="1" t="s">
        <v>96</v>
      </c>
      <c r="E18" s="1" t="s">
        <v>33</v>
      </c>
      <c r="F18" s="1" t="s">
        <v>91</v>
      </c>
      <c r="G18" s="3" t="s">
        <v>92</v>
      </c>
      <c r="H18" s="12">
        <v>0</v>
      </c>
      <c r="I18" s="12" t="s">
        <v>22</v>
      </c>
      <c r="J18" s="3" t="s">
        <v>93</v>
      </c>
      <c r="K18" s="1" t="s">
        <v>94</v>
      </c>
      <c r="L18" s="21"/>
    </row>
    <row r="19" spans="2:12" s="15" customFormat="1">
      <c r="B19" s="9" t="s">
        <v>19</v>
      </c>
      <c r="C19" s="9" t="s">
        <v>91</v>
      </c>
      <c r="D19" s="1" t="s">
        <v>97</v>
      </c>
      <c r="E19" s="1" t="s">
        <v>33</v>
      </c>
      <c r="F19" s="1" t="s">
        <v>91</v>
      </c>
      <c r="G19" s="3" t="s">
        <v>92</v>
      </c>
      <c r="H19" s="12">
        <v>0</v>
      </c>
      <c r="I19" s="12" t="s">
        <v>22</v>
      </c>
      <c r="J19" s="3" t="s">
        <v>93</v>
      </c>
      <c r="K19" s="1" t="s">
        <v>94</v>
      </c>
      <c r="L19" s="21"/>
    </row>
    <row r="20" spans="2:12" s="15" customFormat="1">
      <c r="B20" s="9" t="s">
        <v>19</v>
      </c>
      <c r="C20" s="9" t="s">
        <v>91</v>
      </c>
      <c r="D20" s="1" t="s">
        <v>98</v>
      </c>
      <c r="E20" s="1" t="s">
        <v>33</v>
      </c>
      <c r="F20" s="1" t="s">
        <v>91</v>
      </c>
      <c r="G20" s="3" t="s">
        <v>92</v>
      </c>
      <c r="H20" s="12">
        <v>0</v>
      </c>
      <c r="I20" s="12" t="s">
        <v>22</v>
      </c>
      <c r="J20" s="3" t="s">
        <v>93</v>
      </c>
      <c r="K20" s="1" t="s">
        <v>94</v>
      </c>
      <c r="L20" s="21"/>
    </row>
    <row r="21" spans="2:12" s="15" customFormat="1">
      <c r="B21" s="9" t="s">
        <v>19</v>
      </c>
      <c r="C21" s="9" t="s">
        <v>91</v>
      </c>
      <c r="D21" s="1" t="s">
        <v>99</v>
      </c>
      <c r="E21" s="1" t="s">
        <v>33</v>
      </c>
      <c r="F21" s="1" t="s">
        <v>91</v>
      </c>
      <c r="G21" s="3" t="s">
        <v>92</v>
      </c>
      <c r="H21" s="12">
        <v>0</v>
      </c>
      <c r="I21" s="12" t="s">
        <v>22</v>
      </c>
      <c r="J21" s="3" t="s">
        <v>93</v>
      </c>
      <c r="K21" s="1" t="s">
        <v>94</v>
      </c>
      <c r="L21" s="21"/>
    </row>
    <row r="22" spans="2:12" s="15" customFormat="1">
      <c r="B22" s="9" t="s">
        <v>19</v>
      </c>
      <c r="C22" s="9" t="s">
        <v>91</v>
      </c>
      <c r="D22" s="1" t="s">
        <v>100</v>
      </c>
      <c r="E22" s="1" t="s">
        <v>33</v>
      </c>
      <c r="F22" s="1" t="s">
        <v>91</v>
      </c>
      <c r="G22" s="3" t="s">
        <v>92</v>
      </c>
      <c r="H22" s="12">
        <v>0</v>
      </c>
      <c r="I22" s="12" t="s">
        <v>22</v>
      </c>
      <c r="J22" s="3" t="s">
        <v>93</v>
      </c>
      <c r="K22" s="1" t="s">
        <v>94</v>
      </c>
      <c r="L22" s="21"/>
    </row>
    <row r="23" spans="2:12" s="15" customFormat="1">
      <c r="B23" s="9" t="s">
        <v>19</v>
      </c>
      <c r="C23" s="9" t="s">
        <v>91</v>
      </c>
      <c r="D23" s="1" t="s">
        <v>101</v>
      </c>
      <c r="E23" s="1" t="s">
        <v>33</v>
      </c>
      <c r="F23" s="1" t="s">
        <v>91</v>
      </c>
      <c r="G23" s="3" t="s">
        <v>92</v>
      </c>
      <c r="H23" s="12">
        <v>0</v>
      </c>
      <c r="I23" s="12" t="s">
        <v>22</v>
      </c>
      <c r="J23" s="3" t="s">
        <v>93</v>
      </c>
      <c r="K23" s="1" t="s">
        <v>94</v>
      </c>
      <c r="L23" s="21"/>
    </row>
    <row r="24" spans="2:12" s="15" customFormat="1">
      <c r="B24" s="9" t="s">
        <v>19</v>
      </c>
      <c r="C24" s="9" t="s">
        <v>91</v>
      </c>
      <c r="D24" s="1" t="s">
        <v>102</v>
      </c>
      <c r="E24" s="1" t="s">
        <v>33</v>
      </c>
      <c r="F24" s="1" t="s">
        <v>91</v>
      </c>
      <c r="G24" s="3" t="s">
        <v>92</v>
      </c>
      <c r="H24" s="12">
        <v>0</v>
      </c>
      <c r="I24" s="12" t="s">
        <v>22</v>
      </c>
      <c r="J24" s="3" t="s">
        <v>93</v>
      </c>
      <c r="K24" s="1" t="s">
        <v>94</v>
      </c>
      <c r="L24" s="21"/>
    </row>
    <row r="25" spans="2:12" s="15" customFormat="1">
      <c r="B25" s="9" t="s">
        <v>19</v>
      </c>
      <c r="C25" s="9" t="s">
        <v>91</v>
      </c>
      <c r="D25" s="1" t="s">
        <v>103</v>
      </c>
      <c r="E25" s="1" t="s">
        <v>33</v>
      </c>
      <c r="F25" s="1" t="s">
        <v>91</v>
      </c>
      <c r="G25" s="3" t="s">
        <v>92</v>
      </c>
      <c r="H25" s="12">
        <v>0</v>
      </c>
      <c r="I25" s="12" t="s">
        <v>22</v>
      </c>
      <c r="J25" s="3" t="s">
        <v>93</v>
      </c>
      <c r="K25" s="1" t="s">
        <v>94</v>
      </c>
      <c r="L25" s="21"/>
    </row>
    <row r="26" spans="2:12" s="15" customFormat="1">
      <c r="B26" s="9" t="s">
        <v>19</v>
      </c>
      <c r="C26" s="9" t="s">
        <v>91</v>
      </c>
      <c r="D26" s="1" t="s">
        <v>104</v>
      </c>
      <c r="E26" s="1" t="s">
        <v>33</v>
      </c>
      <c r="F26" s="1" t="s">
        <v>91</v>
      </c>
      <c r="G26" s="3" t="s">
        <v>92</v>
      </c>
      <c r="H26" s="12">
        <v>0</v>
      </c>
      <c r="I26" s="12" t="s">
        <v>22</v>
      </c>
      <c r="J26" s="3" t="s">
        <v>93</v>
      </c>
      <c r="K26" s="1" t="s">
        <v>94</v>
      </c>
      <c r="L26" s="21"/>
    </row>
    <row r="27" spans="2:12" s="15" customFormat="1">
      <c r="B27" s="10" t="s">
        <v>19</v>
      </c>
      <c r="C27" s="10" t="s">
        <v>91</v>
      </c>
      <c r="D27" s="1" t="s">
        <v>30</v>
      </c>
      <c r="E27" s="1" t="s">
        <v>33</v>
      </c>
      <c r="F27" s="1" t="s">
        <v>91</v>
      </c>
      <c r="G27" s="3" t="s">
        <v>92</v>
      </c>
      <c r="H27" s="12">
        <v>0</v>
      </c>
      <c r="I27" s="12" t="s">
        <v>22</v>
      </c>
      <c r="J27" s="3" t="s">
        <v>93</v>
      </c>
      <c r="K27" s="1" t="s">
        <v>94</v>
      </c>
      <c r="L27" s="21"/>
    </row>
    <row r="28" spans="2:12" s="15" customFormat="1">
      <c r="B28" s="19"/>
      <c r="C28" s="19"/>
      <c r="D28" s="20"/>
      <c r="E28" s="20"/>
      <c r="F28" s="20"/>
      <c r="G28" s="20"/>
      <c r="H28" s="20"/>
      <c r="I28" s="21"/>
      <c r="J28" s="21"/>
      <c r="K28" s="21"/>
      <c r="L28" s="21"/>
    </row>
    <row r="29" spans="2:12" s="15" customFormat="1">
      <c r="F29" s="25" t="s">
        <v>105</v>
      </c>
      <c r="G29" s="3" t="s">
        <v>106</v>
      </c>
      <c r="H29" s="25" t="s">
        <v>107</v>
      </c>
      <c r="I29" s="3" t="s">
        <v>108</v>
      </c>
      <c r="J29" s="3" t="s">
        <v>109</v>
      </c>
      <c r="K29" s="3" t="s">
        <v>110</v>
      </c>
      <c r="L29" s="21"/>
    </row>
    <row r="30" spans="2:12" s="15" customFormat="1">
      <c r="F30" s="3" t="s">
        <v>34</v>
      </c>
      <c r="G30" s="23">
        <f t="shared" ref="G30:G38" si="0">SUMIF($F$7:$F$27,F30,$G$7:$G$27)</f>
        <v>1</v>
      </c>
      <c r="H30" s="23">
        <f t="shared" ref="H30:H38" si="1">SUMIF($F$7:$F$27,F30,$H$7:$H$27)</f>
        <v>1</v>
      </c>
      <c r="I30" s="25">
        <v>1</v>
      </c>
      <c r="J30" s="25">
        <f t="shared" ref="J30:J38" si="2">G30*I30</f>
        <v>1</v>
      </c>
      <c r="K30" s="25">
        <f t="shared" ref="K30:K38" si="3">H30*I30</f>
        <v>1</v>
      </c>
    </row>
    <row r="31" spans="2:12" s="15" customFormat="1">
      <c r="F31" s="3" t="s">
        <v>47</v>
      </c>
      <c r="G31" s="23">
        <f t="shared" si="0"/>
        <v>5</v>
      </c>
      <c r="H31" s="23">
        <f t="shared" si="1"/>
        <v>0</v>
      </c>
      <c r="I31" s="25">
        <v>3</v>
      </c>
      <c r="J31" s="25">
        <f t="shared" si="2"/>
        <v>15</v>
      </c>
      <c r="K31" s="25">
        <f t="shared" si="3"/>
        <v>0</v>
      </c>
    </row>
    <row r="32" spans="2:12" s="15" customFormat="1">
      <c r="F32" s="3" t="s">
        <v>52</v>
      </c>
      <c r="G32" s="23">
        <f t="shared" si="0"/>
        <v>4</v>
      </c>
      <c r="H32" s="23">
        <f t="shared" si="1"/>
        <v>0</v>
      </c>
      <c r="I32" s="25">
        <v>1</v>
      </c>
      <c r="J32" s="25">
        <f t="shared" si="2"/>
        <v>4</v>
      </c>
      <c r="K32" s="25">
        <f t="shared" si="3"/>
        <v>0</v>
      </c>
    </row>
    <row r="33" spans="6:12" s="15" customFormat="1">
      <c r="F33" s="3" t="s">
        <v>68</v>
      </c>
      <c r="G33" s="23">
        <f t="shared" si="0"/>
        <v>4</v>
      </c>
      <c r="H33" s="23">
        <f t="shared" si="1"/>
        <v>0</v>
      </c>
      <c r="I33" s="25">
        <v>5</v>
      </c>
      <c r="J33" s="25">
        <f t="shared" si="2"/>
        <v>20</v>
      </c>
      <c r="K33" s="25">
        <f t="shared" si="3"/>
        <v>0</v>
      </c>
    </row>
    <row r="34" spans="6:12" s="15" customFormat="1">
      <c r="F34" s="24" t="s">
        <v>59</v>
      </c>
      <c r="G34" s="23">
        <f t="shared" si="0"/>
        <v>4</v>
      </c>
      <c r="H34" s="23">
        <f t="shared" si="1"/>
        <v>0</v>
      </c>
      <c r="I34" s="25">
        <v>2</v>
      </c>
      <c r="J34" s="25">
        <f t="shared" si="2"/>
        <v>8</v>
      </c>
      <c r="K34" s="25">
        <f t="shared" si="3"/>
        <v>0</v>
      </c>
    </row>
    <row r="35" spans="6:12" s="15" customFormat="1">
      <c r="F35" s="24" t="s">
        <v>65</v>
      </c>
      <c r="G35" s="23">
        <f t="shared" si="0"/>
        <v>4</v>
      </c>
      <c r="H35" s="23">
        <f t="shared" si="1"/>
        <v>0</v>
      </c>
      <c r="I35" s="25">
        <v>6</v>
      </c>
      <c r="J35" s="25">
        <f t="shared" si="2"/>
        <v>24</v>
      </c>
      <c r="K35" s="25">
        <f t="shared" si="3"/>
        <v>0</v>
      </c>
    </row>
    <row r="36" spans="6:12" s="15" customFormat="1">
      <c r="F36" s="3" t="s">
        <v>111</v>
      </c>
      <c r="G36" s="23">
        <f t="shared" si="0"/>
        <v>8</v>
      </c>
      <c r="H36" s="23">
        <f t="shared" si="1"/>
        <v>1</v>
      </c>
      <c r="I36" s="25">
        <v>1</v>
      </c>
      <c r="J36" s="25">
        <f t="shared" si="2"/>
        <v>8</v>
      </c>
      <c r="K36" s="25">
        <f t="shared" si="3"/>
        <v>1</v>
      </c>
    </row>
    <row r="37" spans="6:12" s="15" customFormat="1">
      <c r="F37" s="3" t="s">
        <v>81</v>
      </c>
      <c r="G37" s="23">
        <f t="shared" si="0"/>
        <v>7</v>
      </c>
      <c r="H37" s="23">
        <f t="shared" si="1"/>
        <v>0</v>
      </c>
      <c r="I37" s="25">
        <v>3</v>
      </c>
      <c r="J37" s="25">
        <f t="shared" si="2"/>
        <v>21</v>
      </c>
      <c r="K37" s="25">
        <f t="shared" si="3"/>
        <v>0</v>
      </c>
    </row>
    <row r="38" spans="6:12" s="15" customFormat="1">
      <c r="F38" s="3" t="s">
        <v>91</v>
      </c>
      <c r="G38" s="23">
        <f t="shared" si="0"/>
        <v>0</v>
      </c>
      <c r="H38" s="23">
        <f t="shared" si="1"/>
        <v>0</v>
      </c>
      <c r="I38" s="25">
        <v>0</v>
      </c>
      <c r="J38" s="25">
        <f t="shared" si="2"/>
        <v>0</v>
      </c>
      <c r="K38" s="25">
        <f t="shared" si="3"/>
        <v>0</v>
      </c>
    </row>
    <row r="39" spans="6:12" s="15" customFormat="1">
      <c r="F39" s="14"/>
      <c r="G39" s="14"/>
      <c r="H39" s="14"/>
      <c r="I39" s="14"/>
      <c r="J39" s="14">
        <f t="shared" ref="J39:K39" si="4">SUM(J30:J38)</f>
        <v>101</v>
      </c>
      <c r="K39" s="14">
        <f t="shared" si="4"/>
        <v>2</v>
      </c>
      <c r="L39" s="14"/>
    </row>
    <row r="40" spans="6:12" s="15" customFormat="1">
      <c r="F40" s="14"/>
      <c r="G40" s="14"/>
      <c r="H40" s="14"/>
    </row>
    <row r="42" spans="6:12" s="15" customFormat="1">
      <c r="F42" s="14"/>
    </row>
    <row r="43" spans="6:12" s="15" customFormat="1">
      <c r="F43" s="14"/>
    </row>
    <row r="44" spans="6:12" s="15" customFormat="1">
      <c r="F44" s="14"/>
    </row>
    <row r="45" spans="6:12" s="15" customFormat="1">
      <c r="F45" s="14"/>
    </row>
    <row r="46" spans="6:12" s="15" customFormat="1">
      <c r="F46" s="14"/>
    </row>
    <row r="47" spans="6:12" s="15" customFormat="1">
      <c r="F47" s="14"/>
    </row>
    <row r="48" spans="6:12" s="15" customFormat="1">
      <c r="F48" s="14"/>
    </row>
  </sheetData>
  <autoFilter ref="B3:I27" xr:uid="{00000000-0009-0000-0000-000000000000}"/>
  <phoneticPr fontId="1" type="noConversion"/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72"/>
  <sheetViews>
    <sheetView showGridLines="0" topLeftCell="A148" zoomScale="85" zoomScaleNormal="85" workbookViewId="0">
      <selection activeCell="F120" sqref="F120"/>
    </sheetView>
  </sheetViews>
  <sheetFormatPr defaultRowHeight="17.100000000000001"/>
  <cols>
    <col min="2" max="2" width="12.5" style="15" bestFit="1" customWidth="1"/>
    <col min="3" max="3" width="63.375" style="15" bestFit="1" customWidth="1"/>
    <col min="4" max="4" width="21.375" style="15" bestFit="1" customWidth="1"/>
    <col min="5" max="5" width="9.875" style="15" bestFit="1" customWidth="1"/>
    <col min="6" max="6" width="16.5" style="15" bestFit="1" customWidth="1"/>
    <col min="7" max="7" width="15.875" style="15" customWidth="1"/>
    <col min="8" max="8" width="15.875" style="15" bestFit="1" customWidth="1"/>
    <col min="9" max="9" width="40.625" style="15" customWidth="1"/>
    <col min="10" max="10" width="12.875" style="15" bestFit="1" customWidth="1"/>
    <col min="11" max="11" width="11.125" style="15" bestFit="1" customWidth="1"/>
  </cols>
  <sheetData>
    <row r="1" spans="2:11">
      <c r="F1">
        <f>SUM(F4:F160)</f>
        <v>53</v>
      </c>
      <c r="G1" t="s">
        <v>112</v>
      </c>
      <c r="J1" t="s">
        <v>113</v>
      </c>
      <c r="K1" t="s">
        <v>114</v>
      </c>
    </row>
    <row r="2" spans="2:11">
      <c r="G2" t="s">
        <v>0</v>
      </c>
      <c r="H2" t="s">
        <v>1</v>
      </c>
    </row>
    <row r="3" spans="2:11">
      <c r="B3" s="5" t="s">
        <v>2</v>
      </c>
      <c r="C3" s="5" t="s">
        <v>3</v>
      </c>
      <c r="D3" s="5" t="s">
        <v>4</v>
      </c>
      <c r="E3" s="5" t="s">
        <v>5</v>
      </c>
      <c r="F3" s="5" t="s">
        <v>115</v>
      </c>
      <c r="G3" s="5" t="s">
        <v>11</v>
      </c>
      <c r="H3" s="5" t="s">
        <v>12</v>
      </c>
      <c r="I3" s="5" t="s">
        <v>13</v>
      </c>
    </row>
    <row r="4" spans="2:11">
      <c r="B4" s="41" t="s">
        <v>19</v>
      </c>
      <c r="C4" s="41" t="s">
        <v>15</v>
      </c>
      <c r="D4" s="1" t="s">
        <v>16</v>
      </c>
      <c r="E4" s="1" t="s">
        <v>17</v>
      </c>
      <c r="F4" s="1"/>
      <c r="G4" s="3" t="s">
        <v>22</v>
      </c>
      <c r="H4" s="1"/>
      <c r="I4" s="1"/>
    </row>
    <row r="5" spans="2:11">
      <c r="B5" s="42"/>
      <c r="C5" s="42"/>
      <c r="D5" s="1" t="s">
        <v>20</v>
      </c>
      <c r="E5" s="1" t="s">
        <v>21</v>
      </c>
      <c r="F5" s="1"/>
      <c r="G5" s="3" t="s">
        <v>22</v>
      </c>
      <c r="H5" s="1"/>
      <c r="I5" s="1"/>
    </row>
    <row r="6" spans="2:11">
      <c r="B6" s="42"/>
      <c r="C6" s="42"/>
      <c r="D6" s="1" t="s">
        <v>23</v>
      </c>
      <c r="E6" s="1" t="s">
        <v>21</v>
      </c>
      <c r="F6" s="1"/>
      <c r="G6" s="3" t="s">
        <v>22</v>
      </c>
      <c r="H6" s="1"/>
      <c r="I6" s="1"/>
    </row>
    <row r="7" spans="2:11">
      <c r="B7" s="42"/>
      <c r="C7" s="42"/>
      <c r="D7" s="1" t="s">
        <v>24</v>
      </c>
      <c r="E7" s="1" t="s">
        <v>21</v>
      </c>
      <c r="F7" s="1"/>
      <c r="G7" s="3" t="s">
        <v>22</v>
      </c>
      <c r="H7" s="1"/>
      <c r="I7" s="1"/>
    </row>
    <row r="8" spans="2:11">
      <c r="B8" s="42"/>
      <c r="C8" s="43"/>
      <c r="D8" s="1" t="s">
        <v>25</v>
      </c>
      <c r="E8" s="1" t="s">
        <v>21</v>
      </c>
      <c r="F8" s="1"/>
      <c r="G8" s="3" t="s">
        <v>22</v>
      </c>
      <c r="H8" s="1"/>
      <c r="I8" s="1"/>
    </row>
    <row r="9" spans="2:11">
      <c r="B9" s="42"/>
      <c r="C9" s="4" t="s">
        <v>26</v>
      </c>
      <c r="D9" s="1" t="s">
        <v>27</v>
      </c>
      <c r="E9" s="1" t="s">
        <v>28</v>
      </c>
      <c r="F9" s="1"/>
      <c r="G9" s="3" t="s">
        <v>22</v>
      </c>
      <c r="H9" s="1"/>
      <c r="I9" s="1"/>
    </row>
    <row r="10" spans="2:11">
      <c r="B10" s="42"/>
      <c r="C10" s="41" t="s">
        <v>29</v>
      </c>
      <c r="D10" s="1" t="s">
        <v>23</v>
      </c>
      <c r="E10" s="1" t="s">
        <v>21</v>
      </c>
      <c r="F10" s="1"/>
      <c r="G10" s="3" t="s">
        <v>22</v>
      </c>
      <c r="H10" s="1"/>
      <c r="I10" s="1"/>
    </row>
    <row r="11" spans="2:11">
      <c r="B11" s="42"/>
      <c r="C11" s="42"/>
      <c r="D11" s="1" t="s">
        <v>30</v>
      </c>
      <c r="E11" s="1" t="s">
        <v>21</v>
      </c>
      <c r="F11" s="1"/>
      <c r="G11" s="3" t="s">
        <v>22</v>
      </c>
      <c r="H11" s="1"/>
      <c r="I11" s="1"/>
    </row>
    <row r="12" spans="2:11">
      <c r="B12" s="42"/>
      <c r="C12" s="43"/>
      <c r="D12" s="1" t="s">
        <v>25</v>
      </c>
      <c r="E12" s="1" t="s">
        <v>21</v>
      </c>
      <c r="F12" s="1"/>
      <c r="G12" s="3" t="s">
        <v>22</v>
      </c>
      <c r="H12" s="1"/>
      <c r="I12" s="1"/>
    </row>
    <row r="13" spans="2:11">
      <c r="B13" s="42"/>
      <c r="C13" s="41" t="s">
        <v>31</v>
      </c>
      <c r="D13" s="2" t="s">
        <v>30</v>
      </c>
      <c r="E13" s="2" t="s">
        <v>33</v>
      </c>
      <c r="F13" s="1"/>
      <c r="G13" s="3" t="s">
        <v>22</v>
      </c>
      <c r="H13" s="1"/>
      <c r="I13" s="1"/>
    </row>
    <row r="14" spans="2:11">
      <c r="B14" s="42"/>
      <c r="C14" s="42"/>
      <c r="D14" s="2" t="s">
        <v>32</v>
      </c>
      <c r="E14" s="2" t="s">
        <v>33</v>
      </c>
      <c r="F14" s="1"/>
      <c r="G14" s="3" t="s">
        <v>22</v>
      </c>
      <c r="H14" s="1"/>
      <c r="I14" s="1"/>
    </row>
    <row r="15" spans="2:11">
      <c r="B15" s="42"/>
      <c r="C15" s="42"/>
      <c r="D15" s="2" t="s">
        <v>35</v>
      </c>
      <c r="E15" s="2" t="s">
        <v>33</v>
      </c>
      <c r="F15" s="1"/>
      <c r="G15" s="3" t="s">
        <v>22</v>
      </c>
      <c r="H15" s="1"/>
      <c r="I15" s="1"/>
    </row>
    <row r="16" spans="2:11">
      <c r="B16" s="42"/>
      <c r="C16" s="42"/>
      <c r="D16" s="2" t="s">
        <v>48</v>
      </c>
      <c r="E16" s="2" t="s">
        <v>33</v>
      </c>
      <c r="F16" s="1"/>
      <c r="G16" s="3" t="s">
        <v>22</v>
      </c>
      <c r="H16" s="1"/>
      <c r="I16" s="1"/>
    </row>
    <row r="17" spans="2:9">
      <c r="B17" s="42"/>
      <c r="C17" s="42"/>
      <c r="D17" s="2" t="s">
        <v>37</v>
      </c>
      <c r="E17" s="2" t="s">
        <v>33</v>
      </c>
      <c r="F17" s="1"/>
      <c r="G17" s="3" t="s">
        <v>22</v>
      </c>
      <c r="H17" s="1"/>
      <c r="I17" s="1"/>
    </row>
    <row r="18" spans="2:9">
      <c r="B18" s="42"/>
      <c r="C18" s="42"/>
      <c r="D18" s="2" t="s">
        <v>38</v>
      </c>
      <c r="E18" s="2" t="s">
        <v>33</v>
      </c>
      <c r="F18" s="1"/>
      <c r="G18" s="3" t="s">
        <v>22</v>
      </c>
      <c r="H18" s="1"/>
      <c r="I18" s="1"/>
    </row>
    <row r="19" spans="2:9">
      <c r="B19" s="42"/>
      <c r="C19" s="42"/>
      <c r="D19" s="2" t="s">
        <v>34</v>
      </c>
      <c r="E19" s="2" t="s">
        <v>33</v>
      </c>
      <c r="F19" s="1"/>
      <c r="G19" s="3" t="s">
        <v>22</v>
      </c>
      <c r="H19" s="1"/>
      <c r="I19" s="1"/>
    </row>
    <row r="20" spans="2:9">
      <c r="B20" s="42"/>
      <c r="C20" s="43"/>
      <c r="D20" s="2" t="s">
        <v>30</v>
      </c>
      <c r="E20" s="2" t="s">
        <v>33</v>
      </c>
      <c r="F20" s="1"/>
      <c r="G20" s="3" t="s">
        <v>22</v>
      </c>
      <c r="H20" s="1"/>
      <c r="I20" s="1"/>
    </row>
    <row r="21" spans="2:9">
      <c r="B21" s="42"/>
      <c r="C21" s="41" t="s">
        <v>41</v>
      </c>
      <c r="D21" s="1" t="s">
        <v>40</v>
      </c>
      <c r="E21" s="1" t="s">
        <v>21</v>
      </c>
      <c r="F21" s="1"/>
      <c r="G21" s="3" t="s">
        <v>22</v>
      </c>
      <c r="H21" s="1"/>
      <c r="I21" s="1"/>
    </row>
    <row r="22" spans="2:9">
      <c r="B22" s="42"/>
      <c r="C22" s="42"/>
      <c r="D22" s="1" t="s">
        <v>23</v>
      </c>
      <c r="E22" s="1" t="s">
        <v>21</v>
      </c>
      <c r="F22" s="1"/>
      <c r="G22" s="3" t="s">
        <v>22</v>
      </c>
      <c r="H22" s="1"/>
      <c r="I22" s="1"/>
    </row>
    <row r="23" spans="2:9">
      <c r="B23" s="42"/>
      <c r="C23" s="42"/>
      <c r="D23" s="1" t="s">
        <v>42</v>
      </c>
      <c r="E23" s="1" t="s">
        <v>21</v>
      </c>
      <c r="F23" s="1"/>
      <c r="G23" s="3" t="s">
        <v>22</v>
      </c>
      <c r="H23" s="1"/>
      <c r="I23" s="1"/>
    </row>
    <row r="24" spans="2:9">
      <c r="B24" s="42"/>
      <c r="C24" s="42"/>
      <c r="D24" s="1" t="s">
        <v>25</v>
      </c>
      <c r="E24" s="1" t="s">
        <v>21</v>
      </c>
      <c r="F24" s="1"/>
      <c r="G24" s="3" t="s">
        <v>22</v>
      </c>
      <c r="H24" s="1"/>
      <c r="I24" s="1"/>
    </row>
    <row r="25" spans="2:9">
      <c r="B25" s="42"/>
      <c r="C25" s="42"/>
      <c r="D25" s="2" t="s">
        <v>43</v>
      </c>
      <c r="E25" s="2" t="s">
        <v>21</v>
      </c>
      <c r="F25" s="1"/>
      <c r="G25" s="3" t="s">
        <v>22</v>
      </c>
      <c r="H25" s="1"/>
      <c r="I25" s="1"/>
    </row>
    <row r="26" spans="2:9">
      <c r="B26" s="42"/>
      <c r="C26" s="42"/>
      <c r="D26" s="2" t="s">
        <v>23</v>
      </c>
      <c r="E26" s="2" t="s">
        <v>21</v>
      </c>
      <c r="F26" s="1"/>
      <c r="G26" s="3" t="s">
        <v>22</v>
      </c>
      <c r="H26" s="1"/>
      <c r="I26" s="1"/>
    </row>
    <row r="27" spans="2:9">
      <c r="B27" s="42"/>
      <c r="C27" s="42"/>
      <c r="D27" s="2" t="s">
        <v>44</v>
      </c>
      <c r="E27" s="2" t="s">
        <v>21</v>
      </c>
      <c r="F27" s="1"/>
      <c r="G27" s="3" t="s">
        <v>22</v>
      </c>
      <c r="H27" s="1"/>
      <c r="I27" s="1"/>
    </row>
    <row r="28" spans="2:9">
      <c r="B28" s="42"/>
      <c r="C28" s="42"/>
      <c r="D28" s="2" t="s">
        <v>25</v>
      </c>
      <c r="E28" s="2" t="s">
        <v>21</v>
      </c>
      <c r="F28" s="1"/>
      <c r="G28" s="3" t="s">
        <v>22</v>
      </c>
      <c r="H28" s="1"/>
      <c r="I28" s="1"/>
    </row>
    <row r="29" spans="2:9">
      <c r="B29" s="42"/>
      <c r="C29" s="42"/>
      <c r="D29" s="1" t="s">
        <v>43</v>
      </c>
      <c r="E29" s="1" t="s">
        <v>21</v>
      </c>
      <c r="F29" s="1"/>
      <c r="G29" s="3" t="s">
        <v>22</v>
      </c>
      <c r="H29" s="1"/>
      <c r="I29" s="1"/>
    </row>
    <row r="30" spans="2:9">
      <c r="B30" s="42"/>
      <c r="C30" s="42"/>
      <c r="D30" s="1" t="s">
        <v>23</v>
      </c>
      <c r="E30" s="1" t="s">
        <v>21</v>
      </c>
      <c r="F30" s="1"/>
      <c r="G30" s="3" t="s">
        <v>22</v>
      </c>
      <c r="H30" s="1"/>
      <c r="I30" s="1"/>
    </row>
    <row r="31" spans="2:9">
      <c r="B31" s="42"/>
      <c r="C31" s="42"/>
      <c r="D31" s="1" t="s">
        <v>45</v>
      </c>
      <c r="E31" s="1" t="s">
        <v>21</v>
      </c>
      <c r="F31" s="1"/>
      <c r="G31" s="3" t="s">
        <v>22</v>
      </c>
      <c r="H31" s="1"/>
      <c r="I31" s="1"/>
    </row>
    <row r="32" spans="2:9">
      <c r="B32" s="42"/>
      <c r="C32" s="43"/>
      <c r="D32" s="1" t="s">
        <v>25</v>
      </c>
      <c r="E32" s="1" t="s">
        <v>21</v>
      </c>
      <c r="F32" s="1"/>
      <c r="G32" s="3" t="s">
        <v>22</v>
      </c>
      <c r="H32" s="1"/>
      <c r="I32" s="1"/>
    </row>
    <row r="33" spans="2:9">
      <c r="B33" s="42"/>
      <c r="C33" s="41" t="s">
        <v>46</v>
      </c>
      <c r="D33" s="2" t="s">
        <v>44</v>
      </c>
      <c r="E33" s="2" t="s">
        <v>33</v>
      </c>
      <c r="F33" s="1"/>
      <c r="G33" s="3" t="s">
        <v>22</v>
      </c>
      <c r="H33" s="1"/>
      <c r="I33" s="1"/>
    </row>
    <row r="34" spans="2:9">
      <c r="B34" s="42"/>
      <c r="C34" s="42"/>
      <c r="D34" s="2" t="s">
        <v>32</v>
      </c>
      <c r="E34" s="2" t="s">
        <v>33</v>
      </c>
      <c r="F34" s="1"/>
      <c r="G34" s="3" t="s">
        <v>22</v>
      </c>
      <c r="H34" s="1"/>
      <c r="I34" s="1"/>
    </row>
    <row r="35" spans="2:9">
      <c r="B35" s="42"/>
      <c r="C35" s="42"/>
      <c r="D35" s="2" t="s">
        <v>35</v>
      </c>
      <c r="E35" s="2" t="s">
        <v>33</v>
      </c>
      <c r="F35" s="1"/>
      <c r="G35" s="3" t="s">
        <v>22</v>
      </c>
      <c r="H35" s="1"/>
      <c r="I35" s="1"/>
    </row>
    <row r="36" spans="2:9">
      <c r="B36" s="42"/>
      <c r="C36" s="42"/>
      <c r="D36" s="2" t="s">
        <v>48</v>
      </c>
      <c r="E36" s="2" t="s">
        <v>33</v>
      </c>
      <c r="F36" s="1"/>
      <c r="G36" s="3" t="s">
        <v>22</v>
      </c>
      <c r="H36" s="1"/>
      <c r="I36" s="1"/>
    </row>
    <row r="37" spans="2:9">
      <c r="B37" s="42"/>
      <c r="C37" s="42"/>
      <c r="D37" s="2" t="s">
        <v>37</v>
      </c>
      <c r="E37" s="2" t="s">
        <v>33</v>
      </c>
      <c r="F37" s="1"/>
      <c r="G37" s="3" t="s">
        <v>22</v>
      </c>
      <c r="H37" s="1"/>
      <c r="I37" s="1"/>
    </row>
    <row r="38" spans="2:9">
      <c r="B38" s="42"/>
      <c r="C38" s="42"/>
      <c r="D38" s="2" t="s">
        <v>116</v>
      </c>
      <c r="E38" s="2" t="s">
        <v>33</v>
      </c>
      <c r="F38" s="1"/>
      <c r="G38" s="3" t="s">
        <v>22</v>
      </c>
      <c r="H38" s="1"/>
      <c r="I38" s="1"/>
    </row>
    <row r="39" spans="2:9">
      <c r="B39" s="42"/>
      <c r="C39" s="42"/>
      <c r="D39" s="2" t="s">
        <v>50</v>
      </c>
      <c r="E39" s="2" t="s">
        <v>33</v>
      </c>
      <c r="F39" s="1"/>
      <c r="G39" s="3" t="s">
        <v>22</v>
      </c>
      <c r="H39" s="1"/>
      <c r="I39" s="1"/>
    </row>
    <row r="40" spans="2:9">
      <c r="B40" s="42"/>
      <c r="C40" s="42"/>
      <c r="D40" s="1" t="s">
        <v>42</v>
      </c>
      <c r="E40" s="1" t="s">
        <v>33</v>
      </c>
      <c r="F40" s="1"/>
      <c r="G40" s="3" t="s">
        <v>22</v>
      </c>
      <c r="H40" s="1"/>
      <c r="I40" s="1"/>
    </row>
    <row r="41" spans="2:9">
      <c r="B41" s="42"/>
      <c r="C41" s="42"/>
      <c r="D41" s="1" t="s">
        <v>32</v>
      </c>
      <c r="E41" s="1" t="s">
        <v>33</v>
      </c>
      <c r="F41" s="1"/>
      <c r="G41" s="3" t="s">
        <v>22</v>
      </c>
      <c r="H41" s="1"/>
      <c r="I41" s="1"/>
    </row>
    <row r="42" spans="2:9">
      <c r="B42" s="42"/>
      <c r="C42" s="42"/>
      <c r="D42" s="1" t="s">
        <v>35</v>
      </c>
      <c r="E42" s="1" t="s">
        <v>33</v>
      </c>
      <c r="F42" s="1"/>
      <c r="G42" s="3" t="s">
        <v>22</v>
      </c>
      <c r="H42" s="1"/>
      <c r="I42" s="1"/>
    </row>
    <row r="43" spans="2:9">
      <c r="B43" s="42"/>
      <c r="C43" s="42"/>
      <c r="D43" s="1" t="s">
        <v>48</v>
      </c>
      <c r="E43" s="1" t="s">
        <v>33</v>
      </c>
      <c r="F43" s="1"/>
      <c r="G43" s="3" t="s">
        <v>22</v>
      </c>
      <c r="H43" s="1"/>
      <c r="I43" s="1"/>
    </row>
    <row r="44" spans="2:9">
      <c r="B44" s="42"/>
      <c r="C44" s="42"/>
      <c r="D44" s="1" t="s">
        <v>37</v>
      </c>
      <c r="E44" s="1" t="s">
        <v>33</v>
      </c>
      <c r="F44" s="1"/>
      <c r="G44" s="3" t="s">
        <v>22</v>
      </c>
      <c r="H44" s="1"/>
      <c r="I44" s="1"/>
    </row>
    <row r="45" spans="2:9">
      <c r="B45" s="42"/>
      <c r="C45" s="42"/>
      <c r="D45" s="1" t="s">
        <v>116</v>
      </c>
      <c r="E45" s="1" t="s">
        <v>33</v>
      </c>
      <c r="F45" s="1"/>
      <c r="G45" s="3" t="s">
        <v>22</v>
      </c>
      <c r="H45" s="1"/>
      <c r="I45" s="1"/>
    </row>
    <row r="46" spans="2:9">
      <c r="B46" s="42"/>
      <c r="C46" s="42"/>
      <c r="D46" s="1" t="s">
        <v>50</v>
      </c>
      <c r="E46" s="1" t="s">
        <v>33</v>
      </c>
      <c r="F46" s="1"/>
      <c r="G46" s="3" t="s">
        <v>22</v>
      </c>
      <c r="H46" s="1"/>
      <c r="I46" s="1"/>
    </row>
    <row r="47" spans="2:9">
      <c r="B47" s="42"/>
      <c r="C47" s="42"/>
      <c r="D47" s="2" t="s">
        <v>45</v>
      </c>
      <c r="E47" s="2" t="s">
        <v>33</v>
      </c>
      <c r="F47" s="1"/>
      <c r="G47" s="3" t="s">
        <v>22</v>
      </c>
      <c r="H47" s="1"/>
      <c r="I47" s="1"/>
    </row>
    <row r="48" spans="2:9">
      <c r="B48" s="42"/>
      <c r="C48" s="42"/>
      <c r="D48" s="2" t="s">
        <v>32</v>
      </c>
      <c r="E48" s="2" t="s">
        <v>33</v>
      </c>
      <c r="F48" s="1"/>
      <c r="G48" s="3" t="s">
        <v>22</v>
      </c>
      <c r="H48" s="1"/>
      <c r="I48" s="1"/>
    </row>
    <row r="49" spans="2:9">
      <c r="B49" s="42"/>
      <c r="C49" s="42"/>
      <c r="D49" s="2" t="s">
        <v>35</v>
      </c>
      <c r="E49" s="2" t="s">
        <v>33</v>
      </c>
      <c r="F49" s="1"/>
      <c r="G49" s="3" t="s">
        <v>22</v>
      </c>
      <c r="H49" s="1"/>
      <c r="I49" s="1"/>
    </row>
    <row r="50" spans="2:9">
      <c r="B50" s="42"/>
      <c r="C50" s="42"/>
      <c r="D50" s="2" t="s">
        <v>48</v>
      </c>
      <c r="E50" s="2" t="s">
        <v>33</v>
      </c>
      <c r="F50" s="1"/>
      <c r="G50" s="3" t="s">
        <v>22</v>
      </c>
      <c r="H50" s="1"/>
      <c r="I50" s="1"/>
    </row>
    <row r="51" spans="2:9">
      <c r="B51" s="42"/>
      <c r="C51" s="42"/>
      <c r="D51" s="2" t="s">
        <v>37</v>
      </c>
      <c r="E51" s="2" t="s">
        <v>33</v>
      </c>
      <c r="F51" s="1"/>
      <c r="G51" s="3" t="s">
        <v>22</v>
      </c>
      <c r="H51" s="1"/>
      <c r="I51" s="1"/>
    </row>
    <row r="52" spans="2:9">
      <c r="B52" s="42"/>
      <c r="C52" s="42"/>
      <c r="D52" s="2" t="s">
        <v>116</v>
      </c>
      <c r="E52" s="2" t="s">
        <v>33</v>
      </c>
      <c r="F52" s="1"/>
      <c r="G52" s="3" t="s">
        <v>22</v>
      </c>
      <c r="H52" s="1"/>
      <c r="I52" s="1"/>
    </row>
    <row r="53" spans="2:9">
      <c r="B53" s="42"/>
      <c r="C53" s="43"/>
      <c r="D53" s="2" t="s">
        <v>50</v>
      </c>
      <c r="E53" s="2" t="s">
        <v>33</v>
      </c>
      <c r="F53" s="1"/>
      <c r="G53" s="3" t="s">
        <v>22</v>
      </c>
      <c r="H53" s="1"/>
      <c r="I53" s="1"/>
    </row>
    <row r="54" spans="2:9">
      <c r="B54" s="42"/>
      <c r="C54" s="41" t="s">
        <v>117</v>
      </c>
      <c r="D54" s="1" t="s">
        <v>42</v>
      </c>
      <c r="E54" s="1" t="s">
        <v>33</v>
      </c>
      <c r="F54" s="1"/>
      <c r="G54" s="3" t="s">
        <v>22</v>
      </c>
      <c r="H54" s="1"/>
      <c r="I54" s="1"/>
    </row>
    <row r="55" spans="2:9">
      <c r="B55" s="42"/>
      <c r="C55" s="42"/>
      <c r="D55" s="1" t="s">
        <v>32</v>
      </c>
      <c r="E55" s="1" t="s">
        <v>33</v>
      </c>
      <c r="F55" s="1"/>
      <c r="G55" s="3" t="s">
        <v>22</v>
      </c>
      <c r="H55" s="1"/>
      <c r="I55" s="1"/>
    </row>
    <row r="56" spans="2:9">
      <c r="B56" s="42"/>
      <c r="C56" s="42"/>
      <c r="D56" s="1" t="s">
        <v>35</v>
      </c>
      <c r="E56" s="1" t="s">
        <v>33</v>
      </c>
      <c r="F56" s="1"/>
      <c r="G56" s="3" t="s">
        <v>22</v>
      </c>
      <c r="H56" s="1"/>
      <c r="I56" s="1"/>
    </row>
    <row r="57" spans="2:9">
      <c r="B57" s="42"/>
      <c r="C57" s="42"/>
      <c r="D57" s="1" t="s">
        <v>55</v>
      </c>
      <c r="E57" s="1" t="s">
        <v>33</v>
      </c>
      <c r="F57" s="1"/>
      <c r="G57" s="3" t="s">
        <v>22</v>
      </c>
      <c r="H57" s="1"/>
      <c r="I57" s="1"/>
    </row>
    <row r="58" spans="2:9">
      <c r="B58" s="42"/>
      <c r="C58" s="42"/>
      <c r="D58" s="1" t="s">
        <v>37</v>
      </c>
      <c r="E58" s="1" t="s">
        <v>33</v>
      </c>
      <c r="F58" s="1"/>
      <c r="G58" s="3" t="s">
        <v>22</v>
      </c>
      <c r="H58" s="1"/>
      <c r="I58" s="1"/>
    </row>
    <row r="59" spans="2:9">
      <c r="B59" s="42"/>
      <c r="C59" s="42"/>
      <c r="D59" s="1" t="s">
        <v>44</v>
      </c>
      <c r="E59" s="1" t="s">
        <v>33</v>
      </c>
      <c r="F59" s="1"/>
      <c r="G59" s="3" t="s">
        <v>22</v>
      </c>
      <c r="H59" s="1"/>
      <c r="I59" s="1"/>
    </row>
    <row r="60" spans="2:9">
      <c r="B60" s="42"/>
      <c r="C60" s="42"/>
      <c r="D60" s="1" t="s">
        <v>32</v>
      </c>
      <c r="E60" s="1" t="s">
        <v>33</v>
      </c>
      <c r="F60" s="1"/>
      <c r="G60" s="3" t="s">
        <v>22</v>
      </c>
      <c r="H60" s="1"/>
      <c r="I60" s="1"/>
    </row>
    <row r="61" spans="2:9">
      <c r="B61" s="42"/>
      <c r="C61" s="42"/>
      <c r="D61" s="1" t="s">
        <v>35</v>
      </c>
      <c r="E61" s="1" t="s">
        <v>33</v>
      </c>
      <c r="F61" s="1"/>
      <c r="G61" s="3" t="s">
        <v>22</v>
      </c>
      <c r="H61" s="1"/>
      <c r="I61" s="1"/>
    </row>
    <row r="62" spans="2:9">
      <c r="B62" s="42"/>
      <c r="C62" s="42"/>
      <c r="D62" s="1" t="s">
        <v>57</v>
      </c>
      <c r="E62" s="1" t="s">
        <v>33</v>
      </c>
      <c r="F62" s="1"/>
      <c r="G62" s="3" t="s">
        <v>22</v>
      </c>
      <c r="H62" s="1"/>
      <c r="I62" s="1"/>
    </row>
    <row r="63" spans="2:9">
      <c r="B63" s="42"/>
      <c r="C63" s="43"/>
      <c r="D63" s="1" t="s">
        <v>37</v>
      </c>
      <c r="E63" s="1" t="s">
        <v>33</v>
      </c>
      <c r="F63" s="1"/>
      <c r="G63" s="3" t="s">
        <v>22</v>
      </c>
      <c r="H63" s="1"/>
      <c r="I63" s="1"/>
    </row>
    <row r="64" spans="2:9">
      <c r="B64" s="42"/>
      <c r="C64" s="41" t="s">
        <v>118</v>
      </c>
      <c r="D64" s="2" t="s">
        <v>30</v>
      </c>
      <c r="E64" s="2" t="s">
        <v>33</v>
      </c>
      <c r="F64" s="1">
        <v>0</v>
      </c>
      <c r="G64" s="3" t="s">
        <v>22</v>
      </c>
      <c r="H64" s="1"/>
      <c r="I64" s="1"/>
    </row>
    <row r="65" spans="2:9">
      <c r="B65" s="42"/>
      <c r="C65" s="42"/>
      <c r="D65" s="2" t="s">
        <v>119</v>
      </c>
      <c r="E65" s="2" t="s">
        <v>33</v>
      </c>
      <c r="F65" s="1">
        <v>1</v>
      </c>
      <c r="G65" s="3" t="s">
        <v>22</v>
      </c>
      <c r="H65" s="1"/>
      <c r="I65" s="1"/>
    </row>
    <row r="66" spans="2:9">
      <c r="B66" s="42"/>
      <c r="C66" s="42"/>
      <c r="D66" s="2" t="s">
        <v>35</v>
      </c>
      <c r="E66" s="2" t="s">
        <v>33</v>
      </c>
      <c r="F66" s="1">
        <v>1</v>
      </c>
      <c r="G66" s="3" t="s">
        <v>22</v>
      </c>
      <c r="H66" s="1"/>
      <c r="I66" s="1"/>
    </row>
    <row r="67" spans="2:9">
      <c r="B67" s="42"/>
      <c r="C67" s="42"/>
      <c r="D67" s="2" t="s">
        <v>55</v>
      </c>
      <c r="E67" s="2" t="s">
        <v>33</v>
      </c>
      <c r="F67" s="1">
        <v>1</v>
      </c>
      <c r="G67" s="3" t="s">
        <v>22</v>
      </c>
      <c r="H67" s="1"/>
      <c r="I67" s="1"/>
    </row>
    <row r="68" spans="2:9">
      <c r="B68" s="42"/>
      <c r="C68" s="42"/>
      <c r="D68" s="2" t="s">
        <v>37</v>
      </c>
      <c r="E68" s="2" t="s">
        <v>33</v>
      </c>
      <c r="F68" s="1">
        <v>1</v>
      </c>
      <c r="G68" s="3" t="s">
        <v>22</v>
      </c>
      <c r="H68" s="1"/>
      <c r="I68" s="1"/>
    </row>
    <row r="69" spans="2:9">
      <c r="B69" s="42"/>
      <c r="C69" s="42"/>
      <c r="D69" s="2" t="s">
        <v>45</v>
      </c>
      <c r="E69" s="2" t="s">
        <v>33</v>
      </c>
      <c r="F69" s="1">
        <v>0</v>
      </c>
      <c r="G69" s="3" t="s">
        <v>22</v>
      </c>
      <c r="H69" s="1"/>
      <c r="I69" s="1"/>
    </row>
    <row r="70" spans="2:9">
      <c r="B70" s="42"/>
      <c r="C70" s="42"/>
      <c r="D70" s="2" t="s">
        <v>35</v>
      </c>
      <c r="E70" s="2" t="s">
        <v>33</v>
      </c>
      <c r="F70" s="1">
        <v>1</v>
      </c>
      <c r="G70" s="3" t="s">
        <v>22</v>
      </c>
      <c r="H70" s="1"/>
      <c r="I70" s="1"/>
    </row>
    <row r="71" spans="2:9">
      <c r="B71" s="42"/>
      <c r="C71" s="42"/>
      <c r="D71" s="2" t="s">
        <v>57</v>
      </c>
      <c r="E71" s="2" t="s">
        <v>33</v>
      </c>
      <c r="F71" s="1">
        <v>1</v>
      </c>
      <c r="G71" s="3" t="s">
        <v>22</v>
      </c>
      <c r="H71" s="1"/>
      <c r="I71" s="1"/>
    </row>
    <row r="72" spans="2:9">
      <c r="B72" s="42"/>
      <c r="C72" s="42"/>
      <c r="D72" s="2" t="s">
        <v>37</v>
      </c>
      <c r="E72" s="2" t="s">
        <v>33</v>
      </c>
      <c r="F72" s="1">
        <v>1</v>
      </c>
      <c r="G72" s="3" t="s">
        <v>22</v>
      </c>
      <c r="H72" s="1"/>
      <c r="I72" s="1"/>
    </row>
    <row r="73" spans="2:9">
      <c r="B73" s="42"/>
      <c r="C73" s="42"/>
      <c r="D73" s="1" t="s">
        <v>30</v>
      </c>
      <c r="E73" s="1" t="s">
        <v>33</v>
      </c>
      <c r="F73" s="1">
        <v>0</v>
      </c>
      <c r="G73" s="3" t="s">
        <v>22</v>
      </c>
      <c r="H73" s="1"/>
      <c r="I73" s="1"/>
    </row>
    <row r="74" spans="2:9">
      <c r="B74" s="42"/>
      <c r="C74" s="42"/>
      <c r="D74" s="1" t="s">
        <v>120</v>
      </c>
      <c r="E74" s="1" t="s">
        <v>33</v>
      </c>
      <c r="F74" s="1">
        <v>1</v>
      </c>
      <c r="G74" s="3" t="s">
        <v>22</v>
      </c>
      <c r="H74" s="1"/>
      <c r="I74" s="1"/>
    </row>
    <row r="75" spans="2:9">
      <c r="B75" s="42"/>
      <c r="C75" s="42"/>
      <c r="D75" s="1" t="s">
        <v>35</v>
      </c>
      <c r="E75" s="1" t="s">
        <v>33</v>
      </c>
      <c r="F75" s="1">
        <v>1</v>
      </c>
      <c r="G75" s="3" t="s">
        <v>22</v>
      </c>
      <c r="H75" s="1"/>
      <c r="I75" s="1"/>
    </row>
    <row r="76" spans="2:9">
      <c r="B76" s="42"/>
      <c r="C76" s="42"/>
      <c r="D76" s="1" t="s">
        <v>121</v>
      </c>
      <c r="E76" s="1" t="s">
        <v>33</v>
      </c>
      <c r="F76" s="1">
        <v>1</v>
      </c>
      <c r="G76" s="3" t="s">
        <v>22</v>
      </c>
      <c r="H76" s="1"/>
      <c r="I76" s="1"/>
    </row>
    <row r="77" spans="2:9">
      <c r="B77" s="42"/>
      <c r="C77" s="42"/>
      <c r="D77" s="1" t="s">
        <v>37</v>
      </c>
      <c r="E77" s="1" t="s">
        <v>33</v>
      </c>
      <c r="F77" s="1">
        <v>1</v>
      </c>
      <c r="G77" s="3" t="s">
        <v>22</v>
      </c>
      <c r="H77" s="1"/>
      <c r="I77" s="1"/>
    </row>
    <row r="78" spans="2:9">
      <c r="B78" s="42"/>
      <c r="C78" s="42"/>
      <c r="D78" s="1" t="s">
        <v>122</v>
      </c>
      <c r="E78" s="1" t="s">
        <v>33</v>
      </c>
      <c r="F78" s="1">
        <v>1</v>
      </c>
      <c r="G78" s="3" t="s">
        <v>22</v>
      </c>
      <c r="H78" s="1"/>
      <c r="I78" s="1"/>
    </row>
    <row r="79" spans="2:9">
      <c r="B79" s="42"/>
      <c r="C79" s="42"/>
      <c r="D79" s="2" t="s">
        <v>123</v>
      </c>
      <c r="E79" s="2" t="s">
        <v>33</v>
      </c>
      <c r="F79" s="1">
        <v>5</v>
      </c>
      <c r="G79" s="3" t="s">
        <v>22</v>
      </c>
      <c r="H79" s="1"/>
      <c r="I79" s="1"/>
    </row>
    <row r="80" spans="2:9">
      <c r="B80" s="42"/>
      <c r="C80" s="42"/>
      <c r="D80" s="2" t="s">
        <v>45</v>
      </c>
      <c r="E80" s="2" t="s">
        <v>33</v>
      </c>
      <c r="F80" s="1">
        <v>0</v>
      </c>
      <c r="G80" s="3" t="s">
        <v>22</v>
      </c>
      <c r="H80" s="1"/>
      <c r="I80" s="1"/>
    </row>
    <row r="81" spans="2:9">
      <c r="B81" s="42"/>
      <c r="C81" s="42"/>
      <c r="D81" s="2" t="s">
        <v>32</v>
      </c>
      <c r="E81" s="2" t="s">
        <v>33</v>
      </c>
      <c r="F81" s="1">
        <v>1</v>
      </c>
      <c r="G81" s="3" t="s">
        <v>22</v>
      </c>
      <c r="H81" s="1"/>
      <c r="I81" s="1"/>
    </row>
    <row r="82" spans="2:9">
      <c r="B82" s="42"/>
      <c r="C82" s="42"/>
      <c r="D82" s="2" t="s">
        <v>35</v>
      </c>
      <c r="E82" s="2" t="s">
        <v>33</v>
      </c>
      <c r="F82" s="1">
        <v>1</v>
      </c>
      <c r="G82" s="3" t="s">
        <v>22</v>
      </c>
      <c r="H82" s="1"/>
      <c r="I82" s="1"/>
    </row>
    <row r="83" spans="2:9">
      <c r="B83" s="42"/>
      <c r="C83" s="42"/>
      <c r="D83" s="2" t="s">
        <v>124</v>
      </c>
      <c r="E83" s="2" t="s">
        <v>33</v>
      </c>
      <c r="F83" s="1">
        <v>1</v>
      </c>
      <c r="G83" s="3" t="s">
        <v>22</v>
      </c>
      <c r="H83" s="1"/>
      <c r="I83" s="1"/>
    </row>
    <row r="84" spans="2:9">
      <c r="B84" s="42"/>
      <c r="C84" s="42"/>
      <c r="D84" s="2" t="s">
        <v>37</v>
      </c>
      <c r="E84" s="2" t="s">
        <v>33</v>
      </c>
      <c r="F84" s="1">
        <v>1</v>
      </c>
      <c r="G84" s="3" t="s">
        <v>22</v>
      </c>
      <c r="H84" s="1"/>
      <c r="I84" s="1"/>
    </row>
    <row r="85" spans="2:9">
      <c r="B85" s="42"/>
      <c r="C85" s="43"/>
      <c r="D85" s="2" t="s">
        <v>30</v>
      </c>
      <c r="E85" s="2" t="s">
        <v>33</v>
      </c>
      <c r="F85" s="1">
        <v>0</v>
      </c>
      <c r="G85" s="3" t="s">
        <v>22</v>
      </c>
      <c r="H85" s="1"/>
      <c r="I85" s="1"/>
    </row>
    <row r="86" spans="2:9">
      <c r="B86" s="42"/>
      <c r="C86" s="41" t="s">
        <v>125</v>
      </c>
      <c r="D86" s="1" t="s">
        <v>126</v>
      </c>
      <c r="E86" s="1" t="s">
        <v>33</v>
      </c>
      <c r="F86" s="1">
        <v>5</v>
      </c>
      <c r="G86" s="3" t="s">
        <v>22</v>
      </c>
      <c r="H86" s="1"/>
      <c r="I86" s="1"/>
    </row>
    <row r="87" spans="2:9">
      <c r="B87" s="42"/>
      <c r="C87" s="42"/>
      <c r="D87" s="1" t="s">
        <v>44</v>
      </c>
      <c r="E87" s="1" t="s">
        <v>33</v>
      </c>
      <c r="F87" s="1">
        <v>0</v>
      </c>
      <c r="G87" s="3" t="s">
        <v>22</v>
      </c>
      <c r="H87" s="1"/>
      <c r="I87" s="1"/>
    </row>
    <row r="88" spans="2:9">
      <c r="B88" s="42"/>
      <c r="C88" s="42"/>
      <c r="D88" s="1" t="s">
        <v>32</v>
      </c>
      <c r="E88" s="1" t="s">
        <v>33</v>
      </c>
      <c r="F88" s="1">
        <v>1</v>
      </c>
      <c r="G88" s="3" t="s">
        <v>22</v>
      </c>
      <c r="H88" s="1"/>
      <c r="I88" s="1"/>
    </row>
    <row r="89" spans="2:9">
      <c r="B89" s="42"/>
      <c r="C89" s="42"/>
      <c r="D89" s="1" t="s">
        <v>35</v>
      </c>
      <c r="E89" s="1" t="s">
        <v>33</v>
      </c>
      <c r="F89" s="1">
        <v>1</v>
      </c>
      <c r="G89" s="3" t="s">
        <v>22</v>
      </c>
      <c r="H89" s="1"/>
      <c r="I89" s="1"/>
    </row>
    <row r="90" spans="2:9">
      <c r="B90" s="42"/>
      <c r="C90" s="42"/>
      <c r="D90" s="1" t="s">
        <v>124</v>
      </c>
      <c r="E90" s="1" t="s">
        <v>33</v>
      </c>
      <c r="F90" s="1">
        <v>1</v>
      </c>
      <c r="G90" s="3" t="s">
        <v>22</v>
      </c>
      <c r="H90" s="1"/>
      <c r="I90" s="1"/>
    </row>
    <row r="91" spans="2:9">
      <c r="B91" s="42"/>
      <c r="C91" s="43"/>
      <c r="D91" s="1" t="s">
        <v>37</v>
      </c>
      <c r="E91" s="1" t="s">
        <v>33</v>
      </c>
      <c r="F91" s="1">
        <v>1</v>
      </c>
      <c r="G91" s="3" t="s">
        <v>22</v>
      </c>
      <c r="H91" s="1"/>
      <c r="I91" s="1"/>
    </row>
    <row r="92" spans="2:9">
      <c r="B92" s="42"/>
      <c r="C92" s="41" t="s">
        <v>127</v>
      </c>
      <c r="D92" s="1" t="s">
        <v>30</v>
      </c>
      <c r="E92" s="1" t="s">
        <v>33</v>
      </c>
      <c r="F92" s="1">
        <v>0</v>
      </c>
      <c r="G92" s="3" t="s">
        <v>22</v>
      </c>
      <c r="H92" s="1"/>
      <c r="I92" s="1"/>
    </row>
    <row r="93" spans="2:9">
      <c r="B93" s="42"/>
      <c r="C93" s="42"/>
      <c r="D93" s="1" t="s">
        <v>119</v>
      </c>
      <c r="E93" s="1" t="s">
        <v>33</v>
      </c>
      <c r="F93" s="1">
        <v>1</v>
      </c>
      <c r="G93" s="3" t="s">
        <v>22</v>
      </c>
      <c r="H93" s="1"/>
      <c r="I93" s="1"/>
    </row>
    <row r="94" spans="2:9">
      <c r="B94" s="42"/>
      <c r="C94" s="42"/>
      <c r="D94" s="1" t="s">
        <v>35</v>
      </c>
      <c r="E94" s="1" t="s">
        <v>33</v>
      </c>
      <c r="F94" s="1">
        <v>1</v>
      </c>
      <c r="G94" s="3" t="s">
        <v>22</v>
      </c>
      <c r="H94" s="1"/>
      <c r="I94" s="1"/>
    </row>
    <row r="95" spans="2:9">
      <c r="B95" s="42"/>
      <c r="C95" s="42"/>
      <c r="D95" s="1" t="s">
        <v>55</v>
      </c>
      <c r="E95" s="1" t="s">
        <v>33</v>
      </c>
      <c r="F95" s="1">
        <v>1</v>
      </c>
      <c r="G95" s="3" t="s">
        <v>22</v>
      </c>
      <c r="H95" s="1"/>
      <c r="I95" s="1"/>
    </row>
    <row r="96" spans="2:9">
      <c r="B96" s="42"/>
      <c r="C96" s="42"/>
      <c r="D96" s="1" t="s">
        <v>37</v>
      </c>
      <c r="E96" s="1" t="s">
        <v>33</v>
      </c>
      <c r="F96" s="1">
        <v>1</v>
      </c>
      <c r="G96" s="3" t="s">
        <v>22</v>
      </c>
      <c r="H96" s="1"/>
      <c r="I96" s="1"/>
    </row>
    <row r="97" spans="2:9">
      <c r="B97" s="42"/>
      <c r="C97" s="42"/>
      <c r="D97" s="1" t="s">
        <v>45</v>
      </c>
      <c r="E97" s="1" t="s">
        <v>33</v>
      </c>
      <c r="F97" s="1">
        <v>0</v>
      </c>
      <c r="G97" s="3" t="s">
        <v>22</v>
      </c>
      <c r="H97" s="1"/>
      <c r="I97" s="1"/>
    </row>
    <row r="98" spans="2:9">
      <c r="B98" s="42"/>
      <c r="C98" s="42"/>
      <c r="D98" s="1" t="s">
        <v>35</v>
      </c>
      <c r="E98" s="1" t="s">
        <v>33</v>
      </c>
      <c r="F98" s="1">
        <v>1</v>
      </c>
      <c r="G98" s="3" t="s">
        <v>22</v>
      </c>
      <c r="H98" s="1"/>
      <c r="I98" s="1"/>
    </row>
    <row r="99" spans="2:9">
      <c r="B99" s="42"/>
      <c r="C99" s="42"/>
      <c r="D99" s="1" t="s">
        <v>57</v>
      </c>
      <c r="E99" s="1" t="s">
        <v>33</v>
      </c>
      <c r="F99" s="1">
        <v>1</v>
      </c>
      <c r="G99" s="3" t="s">
        <v>22</v>
      </c>
      <c r="H99" s="1"/>
      <c r="I99" s="1"/>
    </row>
    <row r="100" spans="2:9">
      <c r="B100" s="42"/>
      <c r="C100" s="42"/>
      <c r="D100" s="1" t="s">
        <v>37</v>
      </c>
      <c r="E100" s="1" t="s">
        <v>33</v>
      </c>
      <c r="F100" s="1">
        <v>1</v>
      </c>
      <c r="G100" s="3" t="s">
        <v>22</v>
      </c>
      <c r="H100" s="1"/>
      <c r="I100" s="1"/>
    </row>
    <row r="101" spans="2:9">
      <c r="B101" s="42"/>
      <c r="C101" s="42"/>
      <c r="D101" s="2" t="s">
        <v>30</v>
      </c>
      <c r="E101" s="2" t="s">
        <v>33</v>
      </c>
      <c r="F101" s="1">
        <v>0</v>
      </c>
      <c r="G101" s="3" t="s">
        <v>22</v>
      </c>
      <c r="H101" s="1"/>
      <c r="I101" s="1"/>
    </row>
    <row r="102" spans="2:9">
      <c r="B102" s="42"/>
      <c r="C102" s="42"/>
      <c r="D102" s="2" t="s">
        <v>35</v>
      </c>
      <c r="E102" s="2" t="s">
        <v>33</v>
      </c>
      <c r="F102" s="1">
        <v>1</v>
      </c>
      <c r="G102" s="3" t="s">
        <v>22</v>
      </c>
      <c r="H102" s="1"/>
      <c r="I102" s="1"/>
    </row>
    <row r="103" spans="2:9">
      <c r="B103" s="42"/>
      <c r="C103" s="42"/>
      <c r="D103" s="2" t="s">
        <v>121</v>
      </c>
      <c r="E103" s="2" t="s">
        <v>33</v>
      </c>
      <c r="F103" s="1">
        <v>1</v>
      </c>
      <c r="G103" s="3" t="s">
        <v>22</v>
      </c>
      <c r="H103" s="1"/>
      <c r="I103" s="1"/>
    </row>
    <row r="104" spans="2:9">
      <c r="B104" s="42"/>
      <c r="C104" s="42"/>
      <c r="D104" s="2" t="s">
        <v>37</v>
      </c>
      <c r="E104" s="2" t="s">
        <v>33</v>
      </c>
      <c r="F104" s="1">
        <v>1</v>
      </c>
      <c r="G104" s="3" t="s">
        <v>22</v>
      </c>
      <c r="H104" s="1"/>
      <c r="I104" s="1"/>
    </row>
    <row r="105" spans="2:9">
      <c r="B105" s="42"/>
      <c r="C105" s="42"/>
      <c r="D105" s="2" t="s">
        <v>122</v>
      </c>
      <c r="E105" s="2" t="s">
        <v>33</v>
      </c>
      <c r="F105" s="1">
        <v>1</v>
      </c>
      <c r="G105" s="3" t="s">
        <v>22</v>
      </c>
      <c r="H105" s="1"/>
      <c r="I105" s="1"/>
    </row>
    <row r="106" spans="2:9">
      <c r="B106" s="42"/>
      <c r="C106" s="42"/>
      <c r="D106" s="2" t="s">
        <v>128</v>
      </c>
      <c r="E106" s="2" t="s">
        <v>33</v>
      </c>
      <c r="F106" s="1">
        <v>1</v>
      </c>
      <c r="G106" s="3" t="s">
        <v>22</v>
      </c>
      <c r="H106" s="1"/>
      <c r="I106" s="1"/>
    </row>
    <row r="107" spans="2:9">
      <c r="B107" s="42"/>
      <c r="C107" s="42"/>
      <c r="D107" s="2" t="s">
        <v>129</v>
      </c>
      <c r="E107" s="2" t="s">
        <v>33</v>
      </c>
      <c r="F107" s="1">
        <v>0</v>
      </c>
      <c r="G107" s="3" t="s">
        <v>22</v>
      </c>
      <c r="H107" s="1"/>
      <c r="I107" s="1"/>
    </row>
    <row r="108" spans="2:9">
      <c r="B108" s="42"/>
      <c r="C108" s="42"/>
      <c r="D108" s="2" t="s">
        <v>35</v>
      </c>
      <c r="E108" s="2" t="s">
        <v>33</v>
      </c>
      <c r="F108" s="1">
        <v>1</v>
      </c>
      <c r="G108" s="3" t="s">
        <v>22</v>
      </c>
      <c r="H108" s="1"/>
      <c r="I108" s="1"/>
    </row>
    <row r="109" spans="2:9">
      <c r="B109" s="42"/>
      <c r="C109" s="42"/>
      <c r="D109" s="2" t="s">
        <v>124</v>
      </c>
      <c r="E109" s="2" t="s">
        <v>33</v>
      </c>
      <c r="F109" s="1">
        <v>1</v>
      </c>
      <c r="G109" s="3" t="s">
        <v>22</v>
      </c>
      <c r="H109" s="1"/>
      <c r="I109" s="1"/>
    </row>
    <row r="110" spans="2:9">
      <c r="B110" s="42"/>
      <c r="C110" s="43"/>
      <c r="D110" s="2" t="s">
        <v>37</v>
      </c>
      <c r="E110" s="2" t="s">
        <v>33</v>
      </c>
      <c r="F110" s="1">
        <v>1</v>
      </c>
      <c r="G110" s="3" t="s">
        <v>22</v>
      </c>
      <c r="H110" s="1"/>
      <c r="I110" s="1"/>
    </row>
    <row r="111" spans="2:9">
      <c r="B111" s="42"/>
      <c r="C111" s="41" t="s">
        <v>130</v>
      </c>
      <c r="D111" s="1" t="s">
        <v>42</v>
      </c>
      <c r="E111" s="1" t="s">
        <v>33</v>
      </c>
      <c r="F111" s="1">
        <v>0</v>
      </c>
      <c r="G111" s="3" t="s">
        <v>22</v>
      </c>
      <c r="H111" s="1"/>
      <c r="I111" s="1"/>
    </row>
    <row r="112" spans="2:9">
      <c r="B112" s="42"/>
      <c r="C112" s="42"/>
      <c r="D112" s="1" t="s">
        <v>32</v>
      </c>
      <c r="E112" s="1" t="s">
        <v>33</v>
      </c>
      <c r="F112" s="1">
        <v>1</v>
      </c>
      <c r="G112" s="3" t="s">
        <v>22</v>
      </c>
      <c r="H112" s="1"/>
      <c r="I112" s="1"/>
    </row>
    <row r="113" spans="2:9">
      <c r="B113" s="42"/>
      <c r="C113" s="42"/>
      <c r="D113" s="1" t="s">
        <v>35</v>
      </c>
      <c r="E113" s="1" t="s">
        <v>33</v>
      </c>
      <c r="F113" s="1">
        <v>1</v>
      </c>
      <c r="G113" s="3" t="s">
        <v>22</v>
      </c>
      <c r="H113" s="1"/>
      <c r="I113" s="1"/>
    </row>
    <row r="114" spans="2:9">
      <c r="B114" s="42"/>
      <c r="C114" s="42"/>
      <c r="D114" s="1" t="s">
        <v>55</v>
      </c>
      <c r="E114" s="1" t="s">
        <v>33</v>
      </c>
      <c r="F114" s="1">
        <v>1</v>
      </c>
      <c r="G114" s="3" t="s">
        <v>22</v>
      </c>
      <c r="H114" s="1"/>
      <c r="I114" s="1"/>
    </row>
    <row r="115" spans="2:9">
      <c r="B115" s="42"/>
      <c r="C115" s="42"/>
      <c r="D115" s="1" t="s">
        <v>37</v>
      </c>
      <c r="E115" s="1" t="s">
        <v>33</v>
      </c>
      <c r="F115" s="1">
        <v>1</v>
      </c>
      <c r="G115" s="3" t="s">
        <v>22</v>
      </c>
      <c r="H115" s="1"/>
      <c r="I115" s="1"/>
    </row>
    <row r="116" spans="2:9">
      <c r="B116" s="42"/>
      <c r="C116" s="42"/>
      <c r="D116" s="1" t="s">
        <v>44</v>
      </c>
      <c r="E116" s="1" t="s">
        <v>33</v>
      </c>
      <c r="F116" s="1">
        <v>0</v>
      </c>
      <c r="G116" s="3" t="s">
        <v>22</v>
      </c>
      <c r="H116" s="1"/>
      <c r="I116" s="1"/>
    </row>
    <row r="117" spans="2:9">
      <c r="B117" s="42"/>
      <c r="C117" s="42"/>
      <c r="D117" s="1" t="s">
        <v>32</v>
      </c>
      <c r="E117" s="1" t="s">
        <v>33</v>
      </c>
      <c r="F117" s="1">
        <v>1</v>
      </c>
      <c r="G117" s="3" t="s">
        <v>22</v>
      </c>
      <c r="H117" s="1"/>
      <c r="I117" s="1"/>
    </row>
    <row r="118" spans="2:9">
      <c r="B118" s="42"/>
      <c r="C118" s="42"/>
      <c r="D118" s="1" t="s">
        <v>35</v>
      </c>
      <c r="E118" s="1" t="s">
        <v>33</v>
      </c>
      <c r="F118" s="1">
        <v>1</v>
      </c>
      <c r="G118" s="3" t="s">
        <v>22</v>
      </c>
      <c r="H118" s="1"/>
      <c r="I118" s="1"/>
    </row>
    <row r="119" spans="2:9">
      <c r="B119" s="42"/>
      <c r="C119" s="42"/>
      <c r="D119" s="1" t="s">
        <v>57</v>
      </c>
      <c r="E119" s="1" t="s">
        <v>33</v>
      </c>
      <c r="F119" s="1">
        <v>1</v>
      </c>
      <c r="G119" s="3" t="s">
        <v>22</v>
      </c>
      <c r="H119" s="1"/>
      <c r="I119" s="1"/>
    </row>
    <row r="120" spans="2:9">
      <c r="B120" s="42"/>
      <c r="C120" s="43"/>
      <c r="D120" s="1" t="s">
        <v>37</v>
      </c>
      <c r="E120" s="1" t="s">
        <v>33</v>
      </c>
      <c r="F120" s="1">
        <v>1</v>
      </c>
      <c r="G120" s="3" t="s">
        <v>22</v>
      </c>
      <c r="H120" s="1"/>
      <c r="I120" s="1"/>
    </row>
    <row r="121" spans="2:9">
      <c r="B121" s="42"/>
      <c r="C121" s="41" t="s">
        <v>131</v>
      </c>
      <c r="D121" s="2" t="s">
        <v>132</v>
      </c>
      <c r="E121" s="2" t="s">
        <v>33</v>
      </c>
      <c r="F121" s="1"/>
      <c r="G121" s="3" t="s">
        <v>22</v>
      </c>
      <c r="H121" s="1"/>
      <c r="I121" s="1"/>
    </row>
    <row r="122" spans="2:9">
      <c r="B122" s="42"/>
      <c r="C122" s="42"/>
      <c r="D122" s="2" t="s">
        <v>133</v>
      </c>
      <c r="E122" s="2" t="s">
        <v>33</v>
      </c>
      <c r="F122" s="1"/>
      <c r="G122" s="3" t="s">
        <v>22</v>
      </c>
      <c r="H122" s="1"/>
      <c r="I122" s="1"/>
    </row>
    <row r="123" spans="2:9">
      <c r="B123" s="42"/>
      <c r="C123" s="42"/>
      <c r="D123" s="2" t="s">
        <v>134</v>
      </c>
      <c r="E123" s="2" t="s">
        <v>33</v>
      </c>
      <c r="F123" s="1"/>
      <c r="G123" s="3" t="s">
        <v>22</v>
      </c>
      <c r="H123" s="1"/>
      <c r="I123" s="1"/>
    </row>
    <row r="124" spans="2:9">
      <c r="B124" s="42"/>
      <c r="C124" s="42"/>
      <c r="D124" s="2" t="s">
        <v>48</v>
      </c>
      <c r="E124" s="2" t="s">
        <v>33</v>
      </c>
      <c r="F124" s="1"/>
      <c r="G124" s="3" t="s">
        <v>22</v>
      </c>
      <c r="H124" s="1"/>
      <c r="I124" s="1"/>
    </row>
    <row r="125" spans="2:9">
      <c r="B125" s="42"/>
      <c r="C125" s="42"/>
      <c r="D125" s="2" t="s">
        <v>37</v>
      </c>
      <c r="E125" s="2" t="s">
        <v>33</v>
      </c>
      <c r="F125" s="1"/>
      <c r="G125" s="3" t="s">
        <v>22</v>
      </c>
      <c r="H125" s="1"/>
      <c r="I125" s="1"/>
    </row>
    <row r="126" spans="2:9">
      <c r="B126" s="42"/>
      <c r="C126" s="42"/>
      <c r="D126" s="2" t="s">
        <v>44</v>
      </c>
      <c r="E126" s="2" t="s">
        <v>33</v>
      </c>
      <c r="F126" s="1"/>
      <c r="G126" s="3" t="s">
        <v>22</v>
      </c>
      <c r="H126" s="1"/>
      <c r="I126" s="1"/>
    </row>
    <row r="127" spans="2:9">
      <c r="B127" s="42"/>
      <c r="C127" s="42"/>
      <c r="D127" s="2" t="s">
        <v>32</v>
      </c>
      <c r="E127" s="2" t="s">
        <v>33</v>
      </c>
      <c r="F127" s="1"/>
      <c r="G127" s="3" t="s">
        <v>22</v>
      </c>
      <c r="H127" s="1"/>
      <c r="I127" s="1"/>
    </row>
    <row r="128" spans="2:9">
      <c r="B128" s="42"/>
      <c r="C128" s="42"/>
      <c r="D128" s="2" t="s">
        <v>35</v>
      </c>
      <c r="E128" s="2" t="s">
        <v>33</v>
      </c>
      <c r="F128" s="1"/>
      <c r="G128" s="3" t="s">
        <v>22</v>
      </c>
      <c r="H128" s="1"/>
      <c r="I128" s="1"/>
    </row>
    <row r="129" spans="2:9">
      <c r="B129" s="42"/>
      <c r="C129" s="42"/>
      <c r="D129" s="2" t="s">
        <v>135</v>
      </c>
      <c r="E129" s="2" t="s">
        <v>33</v>
      </c>
      <c r="F129" s="1"/>
      <c r="G129" s="3" t="s">
        <v>22</v>
      </c>
      <c r="H129" s="1"/>
      <c r="I129" s="1"/>
    </row>
    <row r="130" spans="2:9">
      <c r="B130" s="42"/>
      <c r="C130" s="42"/>
      <c r="D130" s="2" t="s">
        <v>37</v>
      </c>
      <c r="E130" s="2" t="s">
        <v>33</v>
      </c>
      <c r="F130" s="1"/>
      <c r="G130" s="3" t="s">
        <v>22</v>
      </c>
      <c r="H130" s="1"/>
      <c r="I130" s="1"/>
    </row>
    <row r="131" spans="2:9">
      <c r="B131" s="42"/>
      <c r="C131" s="42"/>
      <c r="D131" s="2" t="s">
        <v>89</v>
      </c>
      <c r="E131" s="2" t="s">
        <v>33</v>
      </c>
      <c r="F131" s="1"/>
      <c r="G131" s="3" t="s">
        <v>22</v>
      </c>
      <c r="H131" s="1"/>
      <c r="I131" s="1"/>
    </row>
    <row r="132" spans="2:9">
      <c r="B132" s="42"/>
      <c r="C132" s="42"/>
      <c r="D132" s="2" t="s">
        <v>23</v>
      </c>
      <c r="E132" s="2" t="s">
        <v>21</v>
      </c>
      <c r="F132" s="1"/>
      <c r="G132" s="3" t="s">
        <v>22</v>
      </c>
      <c r="H132" s="1"/>
      <c r="I132" s="1"/>
    </row>
    <row r="133" spans="2:9">
      <c r="B133" s="42"/>
      <c r="C133" s="42"/>
      <c r="D133" s="2" t="s">
        <v>90</v>
      </c>
      <c r="E133" s="2" t="s">
        <v>21</v>
      </c>
      <c r="F133" s="1"/>
      <c r="G133" s="3" t="s">
        <v>22</v>
      </c>
      <c r="H133" s="1"/>
      <c r="I133" s="1"/>
    </row>
    <row r="134" spans="2:9">
      <c r="B134" s="42"/>
      <c r="C134" s="42"/>
      <c r="D134" s="2" t="s">
        <v>25</v>
      </c>
      <c r="E134" s="2" t="s">
        <v>21</v>
      </c>
      <c r="F134" s="1"/>
      <c r="G134" s="3" t="s">
        <v>22</v>
      </c>
      <c r="H134" s="1"/>
      <c r="I134" s="1"/>
    </row>
    <row r="135" spans="2:9">
      <c r="B135" s="42"/>
      <c r="C135" s="42"/>
      <c r="D135" s="1" t="s">
        <v>132</v>
      </c>
      <c r="E135" s="1" t="s">
        <v>33</v>
      </c>
      <c r="F135" s="1"/>
      <c r="G135" s="3" t="s">
        <v>22</v>
      </c>
      <c r="H135" s="1"/>
      <c r="I135" s="1"/>
    </row>
    <row r="136" spans="2:9">
      <c r="B136" s="42"/>
      <c r="C136" s="42"/>
      <c r="D136" s="1" t="s">
        <v>133</v>
      </c>
      <c r="E136" s="1" t="s">
        <v>33</v>
      </c>
      <c r="F136" s="1"/>
      <c r="G136" s="3" t="s">
        <v>22</v>
      </c>
      <c r="H136" s="1"/>
      <c r="I136" s="1"/>
    </row>
    <row r="137" spans="2:9">
      <c r="B137" s="42"/>
      <c r="C137" s="42"/>
      <c r="D137" s="1" t="s">
        <v>134</v>
      </c>
      <c r="E137" s="1" t="s">
        <v>33</v>
      </c>
      <c r="F137" s="1"/>
      <c r="G137" s="3" t="s">
        <v>22</v>
      </c>
      <c r="H137" s="1"/>
      <c r="I137" s="1"/>
    </row>
    <row r="138" spans="2:9">
      <c r="B138" s="42"/>
      <c r="C138" s="42"/>
      <c r="D138" s="1" t="s">
        <v>48</v>
      </c>
      <c r="E138" s="1" t="s">
        <v>33</v>
      </c>
      <c r="F138" s="1"/>
      <c r="G138" s="3" t="s">
        <v>22</v>
      </c>
      <c r="H138" s="1"/>
      <c r="I138" s="1"/>
    </row>
    <row r="139" spans="2:9">
      <c r="B139" s="42"/>
      <c r="C139" s="42"/>
      <c r="D139" s="1" t="s">
        <v>37</v>
      </c>
      <c r="E139" s="1" t="s">
        <v>33</v>
      </c>
      <c r="F139" s="1"/>
      <c r="G139" s="3" t="s">
        <v>22</v>
      </c>
      <c r="H139" s="1"/>
      <c r="I139" s="1"/>
    </row>
    <row r="140" spans="2:9">
      <c r="B140" s="42"/>
      <c r="C140" s="42"/>
      <c r="D140" s="1" t="s">
        <v>42</v>
      </c>
      <c r="E140" s="1" t="s">
        <v>33</v>
      </c>
      <c r="F140" s="1"/>
      <c r="G140" s="3" t="s">
        <v>22</v>
      </c>
      <c r="H140" s="1"/>
      <c r="I140" s="1"/>
    </row>
    <row r="141" spans="2:9">
      <c r="B141" s="42"/>
      <c r="C141" s="42"/>
      <c r="D141" s="1" t="s">
        <v>32</v>
      </c>
      <c r="E141" s="1" t="s">
        <v>33</v>
      </c>
      <c r="F141" s="1"/>
      <c r="G141" s="3" t="s">
        <v>22</v>
      </c>
      <c r="H141" s="1"/>
      <c r="I141" s="1"/>
    </row>
    <row r="142" spans="2:9">
      <c r="B142" s="42"/>
      <c r="C142" s="42"/>
      <c r="D142" s="1" t="s">
        <v>35</v>
      </c>
      <c r="E142" s="1" t="s">
        <v>33</v>
      </c>
      <c r="F142" s="1"/>
      <c r="G142" s="3" t="s">
        <v>22</v>
      </c>
      <c r="H142" s="1"/>
      <c r="I142" s="1"/>
    </row>
    <row r="143" spans="2:9">
      <c r="B143" s="42"/>
      <c r="C143" s="42"/>
      <c r="D143" s="1" t="s">
        <v>135</v>
      </c>
      <c r="E143" s="1" t="s">
        <v>33</v>
      </c>
      <c r="F143" s="1"/>
      <c r="G143" s="3" t="s">
        <v>22</v>
      </c>
      <c r="H143" s="1"/>
      <c r="I143" s="1"/>
    </row>
    <row r="144" spans="2:9">
      <c r="B144" s="42"/>
      <c r="C144" s="42"/>
      <c r="D144" s="1" t="s">
        <v>37</v>
      </c>
      <c r="E144" s="1" t="s">
        <v>33</v>
      </c>
      <c r="F144" s="1"/>
      <c r="G144" s="3" t="s">
        <v>22</v>
      </c>
      <c r="H144" s="1"/>
      <c r="I144" s="1"/>
    </row>
    <row r="145" spans="2:9">
      <c r="B145" s="42"/>
      <c r="C145" s="42"/>
      <c r="D145" s="1" t="s">
        <v>23</v>
      </c>
      <c r="E145" s="1" t="s">
        <v>21</v>
      </c>
      <c r="F145" s="1"/>
      <c r="G145" s="3" t="s">
        <v>22</v>
      </c>
      <c r="H145" s="1"/>
      <c r="I145" s="1"/>
    </row>
    <row r="146" spans="2:9">
      <c r="B146" s="42"/>
      <c r="C146" s="42"/>
      <c r="D146" s="1" t="s">
        <v>136</v>
      </c>
      <c r="E146" s="1" t="s">
        <v>21</v>
      </c>
      <c r="F146" s="1"/>
      <c r="G146" s="3" t="s">
        <v>22</v>
      </c>
      <c r="H146" s="1"/>
      <c r="I146" s="1"/>
    </row>
    <row r="147" spans="2:9">
      <c r="B147" s="42"/>
      <c r="C147" s="42"/>
      <c r="D147" s="1" t="s">
        <v>25</v>
      </c>
      <c r="E147" s="1" t="s">
        <v>21</v>
      </c>
      <c r="F147" s="1"/>
      <c r="G147" s="3" t="s">
        <v>22</v>
      </c>
      <c r="H147" s="1"/>
      <c r="I147" s="1"/>
    </row>
    <row r="148" spans="2:9">
      <c r="B148" s="42"/>
      <c r="C148" s="42"/>
      <c r="D148" s="2" t="s">
        <v>132</v>
      </c>
      <c r="E148" s="2" t="s">
        <v>33</v>
      </c>
      <c r="F148" s="1"/>
      <c r="G148" s="3" t="s">
        <v>22</v>
      </c>
      <c r="H148" s="1"/>
      <c r="I148" s="1"/>
    </row>
    <row r="149" spans="2:9">
      <c r="B149" s="42"/>
      <c r="C149" s="42"/>
      <c r="D149" s="2" t="s">
        <v>133</v>
      </c>
      <c r="E149" s="2" t="s">
        <v>33</v>
      </c>
      <c r="F149" s="1"/>
      <c r="G149" s="3" t="s">
        <v>22</v>
      </c>
      <c r="H149" s="1"/>
      <c r="I149" s="1"/>
    </row>
    <row r="150" spans="2:9">
      <c r="B150" s="42"/>
      <c r="C150" s="42"/>
      <c r="D150" s="2" t="s">
        <v>134</v>
      </c>
      <c r="E150" s="2" t="s">
        <v>33</v>
      </c>
      <c r="F150" s="1"/>
      <c r="G150" s="3" t="s">
        <v>22</v>
      </c>
      <c r="H150" s="1"/>
      <c r="I150" s="1"/>
    </row>
    <row r="151" spans="2:9">
      <c r="B151" s="42"/>
      <c r="C151" s="42"/>
      <c r="D151" s="2" t="s">
        <v>48</v>
      </c>
      <c r="E151" s="2" t="s">
        <v>33</v>
      </c>
      <c r="F151" s="1"/>
      <c r="G151" s="3" t="s">
        <v>22</v>
      </c>
      <c r="H151" s="1"/>
      <c r="I151" s="1"/>
    </row>
    <row r="152" spans="2:9">
      <c r="B152" s="42"/>
      <c r="C152" s="42"/>
      <c r="D152" s="2" t="s">
        <v>37</v>
      </c>
      <c r="E152" s="2" t="s">
        <v>33</v>
      </c>
      <c r="F152" s="1"/>
      <c r="G152" s="3" t="s">
        <v>22</v>
      </c>
      <c r="H152" s="1"/>
      <c r="I152" s="1"/>
    </row>
    <row r="153" spans="2:9">
      <c r="B153" s="42"/>
      <c r="C153" s="42"/>
      <c r="D153" s="2" t="s">
        <v>45</v>
      </c>
      <c r="E153" s="2" t="s">
        <v>33</v>
      </c>
      <c r="F153" s="1"/>
      <c r="G153" s="3" t="s">
        <v>22</v>
      </c>
      <c r="H153" s="1"/>
      <c r="I153" s="1"/>
    </row>
    <row r="154" spans="2:9">
      <c r="B154" s="42"/>
      <c r="C154" s="42"/>
      <c r="D154" s="2" t="s">
        <v>32</v>
      </c>
      <c r="E154" s="2" t="s">
        <v>33</v>
      </c>
      <c r="F154" s="1"/>
      <c r="G154" s="3" t="s">
        <v>22</v>
      </c>
      <c r="H154" s="1"/>
      <c r="I154" s="1"/>
    </row>
    <row r="155" spans="2:9">
      <c r="B155" s="42"/>
      <c r="C155" s="42"/>
      <c r="D155" s="2" t="s">
        <v>35</v>
      </c>
      <c r="E155" s="2" t="s">
        <v>33</v>
      </c>
      <c r="F155" s="1"/>
      <c r="G155" s="3" t="s">
        <v>22</v>
      </c>
      <c r="H155" s="1"/>
      <c r="I155" s="1"/>
    </row>
    <row r="156" spans="2:9">
      <c r="B156" s="42"/>
      <c r="C156" s="42"/>
      <c r="D156" s="2" t="s">
        <v>135</v>
      </c>
      <c r="E156" s="2" t="s">
        <v>33</v>
      </c>
      <c r="F156" s="1"/>
      <c r="G156" s="3" t="s">
        <v>22</v>
      </c>
      <c r="H156" s="1"/>
      <c r="I156" s="1"/>
    </row>
    <row r="157" spans="2:9">
      <c r="B157" s="42"/>
      <c r="C157" s="42"/>
      <c r="D157" s="2" t="s">
        <v>37</v>
      </c>
      <c r="E157" s="2" t="s">
        <v>33</v>
      </c>
      <c r="F157" s="1"/>
      <c r="G157" s="3" t="s">
        <v>22</v>
      </c>
      <c r="H157" s="1"/>
      <c r="I157" s="1"/>
    </row>
    <row r="158" spans="2:9">
      <c r="B158" s="42"/>
      <c r="C158" s="42"/>
      <c r="D158" s="2" t="s">
        <v>23</v>
      </c>
      <c r="E158" s="2" t="s">
        <v>21</v>
      </c>
      <c r="F158" s="1"/>
      <c r="G158" s="3" t="s">
        <v>22</v>
      </c>
      <c r="H158" s="1"/>
      <c r="I158" s="1"/>
    </row>
    <row r="159" spans="2:9">
      <c r="B159" s="42"/>
      <c r="C159" s="42"/>
      <c r="D159" s="2" t="s">
        <v>137</v>
      </c>
      <c r="E159" s="2" t="s">
        <v>21</v>
      </c>
      <c r="F159" s="1"/>
      <c r="G159" s="3" t="s">
        <v>22</v>
      </c>
      <c r="H159" s="1"/>
      <c r="I159" s="1"/>
    </row>
    <row r="160" spans="2:9">
      <c r="B160" s="42"/>
      <c r="C160" s="43"/>
      <c r="D160" s="2" t="s">
        <v>25</v>
      </c>
      <c r="E160" s="2" t="s">
        <v>21</v>
      </c>
      <c r="F160" s="1"/>
      <c r="G160" s="3" t="s">
        <v>22</v>
      </c>
      <c r="H160" s="1"/>
      <c r="I160" s="1"/>
    </row>
    <row r="161" spans="2:9">
      <c r="B161" s="42"/>
      <c r="C161" s="41" t="s">
        <v>91</v>
      </c>
      <c r="D161" s="1" t="s">
        <v>30</v>
      </c>
      <c r="E161" s="1" t="s">
        <v>33</v>
      </c>
      <c r="F161" s="1"/>
      <c r="G161" s="3" t="s">
        <v>22</v>
      </c>
      <c r="H161" s="1"/>
      <c r="I161" s="1"/>
    </row>
    <row r="162" spans="2:9">
      <c r="B162" s="42"/>
      <c r="C162" s="42"/>
      <c r="D162" s="1" t="s">
        <v>95</v>
      </c>
      <c r="E162" s="1" t="s">
        <v>33</v>
      </c>
      <c r="F162" s="1"/>
      <c r="G162" s="3" t="s">
        <v>22</v>
      </c>
      <c r="H162" s="1"/>
      <c r="I162" s="1"/>
    </row>
    <row r="163" spans="2:9">
      <c r="B163" s="42"/>
      <c r="C163" s="42"/>
      <c r="D163" s="1" t="s">
        <v>96</v>
      </c>
      <c r="E163" s="1" t="s">
        <v>33</v>
      </c>
      <c r="F163" s="1"/>
      <c r="G163" s="3" t="s">
        <v>22</v>
      </c>
      <c r="H163" s="1"/>
      <c r="I163" s="1"/>
    </row>
    <row r="164" spans="2:9">
      <c r="B164" s="42"/>
      <c r="C164" s="42"/>
      <c r="D164" s="1" t="s">
        <v>97</v>
      </c>
      <c r="E164" s="1" t="s">
        <v>33</v>
      </c>
      <c r="F164" s="1"/>
      <c r="G164" s="3" t="s">
        <v>22</v>
      </c>
      <c r="H164" s="1"/>
      <c r="I164" s="1"/>
    </row>
    <row r="165" spans="2:9">
      <c r="B165" s="42"/>
      <c r="C165" s="42"/>
      <c r="D165" s="1" t="s">
        <v>98</v>
      </c>
      <c r="E165" s="1" t="s">
        <v>33</v>
      </c>
      <c r="F165" s="1"/>
      <c r="G165" s="3" t="s">
        <v>22</v>
      </c>
      <c r="H165" s="1"/>
      <c r="I165" s="1"/>
    </row>
    <row r="166" spans="2:9">
      <c r="B166" s="42"/>
      <c r="C166" s="42"/>
      <c r="D166" s="1" t="s">
        <v>99</v>
      </c>
      <c r="E166" s="1" t="s">
        <v>33</v>
      </c>
      <c r="F166" s="1"/>
      <c r="G166" s="3" t="s">
        <v>22</v>
      </c>
      <c r="H166" s="1"/>
      <c r="I166" s="1"/>
    </row>
    <row r="167" spans="2:9">
      <c r="B167" s="42"/>
      <c r="C167" s="42"/>
      <c r="D167" s="1" t="s">
        <v>100</v>
      </c>
      <c r="E167" s="1" t="s">
        <v>33</v>
      </c>
      <c r="F167" s="1"/>
      <c r="G167" s="3" t="s">
        <v>22</v>
      </c>
      <c r="H167" s="1"/>
      <c r="I167" s="1"/>
    </row>
    <row r="168" spans="2:9">
      <c r="B168" s="42"/>
      <c r="C168" s="42"/>
      <c r="D168" s="1" t="s">
        <v>101</v>
      </c>
      <c r="E168" s="1" t="s">
        <v>33</v>
      </c>
      <c r="F168" s="1"/>
      <c r="G168" s="3" t="s">
        <v>22</v>
      </c>
      <c r="H168" s="1"/>
      <c r="I168" s="1"/>
    </row>
    <row r="169" spans="2:9">
      <c r="B169" s="42"/>
      <c r="C169" s="42"/>
      <c r="D169" s="1" t="s">
        <v>102</v>
      </c>
      <c r="E169" s="1" t="s">
        <v>33</v>
      </c>
      <c r="F169" s="1"/>
      <c r="G169" s="3" t="s">
        <v>22</v>
      </c>
      <c r="H169" s="1"/>
      <c r="I169" s="1"/>
    </row>
    <row r="170" spans="2:9">
      <c r="B170" s="42"/>
      <c r="C170" s="42"/>
      <c r="D170" s="1" t="s">
        <v>103</v>
      </c>
      <c r="E170" s="1" t="s">
        <v>33</v>
      </c>
      <c r="F170" s="1"/>
      <c r="G170" s="3" t="s">
        <v>22</v>
      </c>
      <c r="H170" s="1"/>
      <c r="I170" s="1"/>
    </row>
    <row r="171" spans="2:9">
      <c r="B171" s="42"/>
      <c r="C171" s="42"/>
      <c r="D171" s="1" t="s">
        <v>104</v>
      </c>
      <c r="E171" s="1" t="s">
        <v>33</v>
      </c>
      <c r="F171" s="1"/>
      <c r="G171" s="3" t="s">
        <v>22</v>
      </c>
      <c r="H171" s="1"/>
      <c r="I171" s="1"/>
    </row>
    <row r="172" spans="2:9">
      <c r="B172" s="43"/>
      <c r="C172" s="43"/>
      <c r="D172" s="1" t="s">
        <v>30</v>
      </c>
      <c r="E172" s="1" t="s">
        <v>33</v>
      </c>
      <c r="F172" s="1"/>
      <c r="G172" s="3" t="s">
        <v>22</v>
      </c>
      <c r="H172" s="1"/>
      <c r="I172" s="1"/>
    </row>
  </sheetData>
  <mergeCells count="13">
    <mergeCell ref="C13:C20"/>
    <mergeCell ref="C92:C110"/>
    <mergeCell ref="B4:B172"/>
    <mergeCell ref="C64:C85"/>
    <mergeCell ref="C86:C91"/>
    <mergeCell ref="C161:C172"/>
    <mergeCell ref="C33:C53"/>
    <mergeCell ref="C21:C32"/>
    <mergeCell ref="C4:C8"/>
    <mergeCell ref="C121:C160"/>
    <mergeCell ref="C10:C12"/>
    <mergeCell ref="C111:C120"/>
    <mergeCell ref="C54:C63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05D279EDDF19147AF014EBF45A892B0" ma:contentTypeVersion="13" ma:contentTypeDescription="새 문서를 만듭니다." ma:contentTypeScope="" ma:versionID="57b870fc36b4b5a5dff8e243c8b188f8">
  <xsd:schema xmlns:xsd="http://www.w3.org/2001/XMLSchema" xmlns:xs="http://www.w3.org/2001/XMLSchema" xmlns:p="http://schemas.microsoft.com/office/2006/metadata/properties" xmlns:ns2="f1ca3f1a-2977-477c-a63c-cd28193c1f52" xmlns:ns3="553798d8-f9c1-4bc5-a121-cc8727b434bb" targetNamespace="http://schemas.microsoft.com/office/2006/metadata/properties" ma:root="true" ma:fieldsID="6ea6162ed956eb97fcd6e0d721446e85" ns2:_="" ns3:_="">
    <xsd:import namespace="f1ca3f1a-2977-477c-a63c-cd28193c1f52"/>
    <xsd:import namespace="553798d8-f9c1-4bc5-a121-cc8727b434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a3f1a-2977-477c-a63c-cd28193c1f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83e4a51d-6507-421c-8760-bc61444c9b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798d8-f9c1-4bc5-a121-cc8727b434b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96f6184-00a9-4165-9dad-34b4c067bbc0}" ma:internalName="TaxCatchAll" ma:showField="CatchAllData" ma:web="553798d8-f9c1-4bc5-a121-cc8727b434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3798d8-f9c1-4bc5-a121-cc8727b434bb" xsi:nil="true"/>
    <lcf76f155ced4ddcb4097134ff3c332f xmlns="f1ca3f1a-2977-477c-a63c-cd28193c1f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1BD39F-4F2E-49C5-9E8A-0D51305BC6DC}"/>
</file>

<file path=customXml/itemProps2.xml><?xml version="1.0" encoding="utf-8"?>
<ds:datastoreItem xmlns:ds="http://schemas.openxmlformats.org/officeDocument/2006/customXml" ds:itemID="{57DD755B-24C3-4A29-AC2D-BE68A218BD4A}"/>
</file>

<file path=customXml/itemProps3.xml><?xml version="1.0" encoding="utf-8"?>
<ds:datastoreItem xmlns:ds="http://schemas.openxmlformats.org/officeDocument/2006/customXml" ds:itemID="{6B586519-AB32-49AB-B248-A0D7F46306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박영주(YOUNG JU PARK)[park0ju]/책임/업무혁신.R&amp;D PI.제품개발PI팀</dc:creator>
  <cp:keywords/>
  <dc:description/>
  <cp:lastModifiedBy/>
  <cp:revision/>
  <dcterms:created xsi:type="dcterms:W3CDTF">2026-09-07T05:39:00Z</dcterms:created>
  <dcterms:modified xsi:type="dcterms:W3CDTF">2026-09-18T00:59:45Z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0x010100005D279EDDF19147AF014EBF45A892B0</vt:lpwstr>
  </property>
  <property fmtid="{D5CDD505-2E9C-101B-9397-08002B2CF9AE}" pid="3" name="MediaServiceImageTags">
    <vt:lpwstr/>
  </property>
</Properties>
</file>